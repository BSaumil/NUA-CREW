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bf0cd02da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f6c6a695847b4e67"/>
    <x:sheet xmlns:r="http://schemas.openxmlformats.org/officeDocument/2006/relationships" name="ROLE CATALOGUE" sheetId="2" r:id="R0edc26bbaded4096"/>
    <x:sheet xmlns:r="http://schemas.openxmlformats.org/officeDocument/2006/relationships" name="RESTAURANT + HOSPITALITY" sheetId="3" r:id="R03d16362f9144000"/>
    <x:sheet xmlns:r="http://schemas.openxmlformats.org/officeDocument/2006/relationships" name="FAST FOOD" sheetId="4" r:id="R0b3993e8702149e9"/>
    <x:sheet xmlns:r="http://schemas.openxmlformats.org/officeDocument/2006/relationships" name="LICENSED CLUBS" sheetId="5" r:id="R0498607ce7c64f56"/>
    <x:sheet xmlns:r="http://schemas.openxmlformats.org/officeDocument/2006/relationships" name="PENALTIES + SPECIAL RULES" sheetId="6" r:id="Rabba7aea672f4f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$#,##0.00"/>
  </x:numFmts>
  <x:fonts count="5">
    <x:font>
      <x:sz val="11"/>
      <x:name val="Carlito"/>
    </x:font>
    <x:font>
      <x:b/>
      <x:sz val="11"/>
      <x:color rgb="FFF6F0E5"/>
      <x:name val="Carlito"/>
    </x:font>
    <x:font>
      <x:b/>
      <x:sz val="11"/>
      <x:color rgb="FF111113"/>
      <x:name val="Carlito"/>
    </x:font>
    <x:font>
      <x:b/>
      <x:sz val="11"/>
      <x:color rgb="FF7F1D1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113"/>
      </x:patternFill>
    </x:fill>
    <x:fill>
      <x:patternFill patternType="solid">
        <x:fgColor rgb="FFF6F0E5"/>
      </x:patternFill>
    </x:fill>
    <x:fill>
      <x:patternFill patternType="solid">
        <x:fgColor rgb="FFFBE6E6"/>
      </x:patternFill>
    </x:fill>
    <x:fill>
      <x:patternFill patternType="solid">
        <x:fgColor rgb="FF6B173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4880d9c82b4597" /><Relationship Type="http://schemas.openxmlformats.org/officeDocument/2006/relationships/theme" Target="/xl/theme/theme1.xml" Id="Rfdfac570dd6647c0" /><Relationship Type="http://schemas.openxmlformats.org/officeDocument/2006/relationships/sharedStrings" Target="/xl/sharedStrings.xml" Id="Rc8e79a45cc0e472a" /><Relationship Type="http://schemas.openxmlformats.org/officeDocument/2006/relationships/worksheet" Target="/xl/worksheets/sheet1.xml" Id="Rf6c6a695847b4e67" /><Relationship Type="http://schemas.openxmlformats.org/officeDocument/2006/relationships/worksheet" Target="/xl/worksheets/sheet2.xml" Id="R0edc26bbaded4096" /><Relationship Type="http://schemas.openxmlformats.org/officeDocument/2006/relationships/worksheet" Target="/xl/worksheets/sheet3.xml" Id="R03d16362f9144000" /><Relationship Type="http://schemas.openxmlformats.org/officeDocument/2006/relationships/worksheet" Target="/xl/worksheets/sheet4.xml" Id="R0b3993e8702149e9" /><Relationship Type="http://schemas.openxmlformats.org/officeDocument/2006/relationships/worksheet" Target="/xl/worksheets/sheet5.xml" Id="R0498607ce7c64f56" /><Relationship Type="http://schemas.openxmlformats.org/officeDocument/2006/relationships/worksheet" Target="/xl/worksheets/sheet6.xml" Id="Rabba7aea672f4f61" /></Relationships>
</file>

<file path=xl/tables/table1.xml><?xml version="1.0" encoding="utf-8"?>
<x:table xmlns:x="http://schemas.openxmlformats.org/spreadsheetml/2006/main" id="1" name="HospitalityRoleMaster" displayName="HospitalityRoleMaster" ref="A1:H288" headerRowCount="1" totalsRowCount="0" totalsRowShown="0">
  <x:tableColumns count="8">
    <x:tableColumn id="1" name="Role ID"/>
    <x:tableColumn id="2" name="Department / Workstream"/>
    <x:tableColumn id="3" name="Hierarchy Tier (1 highest)"/>
    <x:tableColumn id="4" name="Job title / alias"/>
    <x:tableColumn id="5" name="Indicative classification (NOT final)"/>
    <x:tableColumn id="6" name="Typical award scope"/>
    <x:tableColumn id="7" name="Compliance / mapping note"/>
    <x:tableColumn id="8" name="Official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ndardAwardRates" displayName="StandardAwardRates" ref="A1:H15" headerRowCount="1" totalsRowCount="0" totalsRowShown="0">
  <x:tableColumns count="8">
    <x:tableColumn id="1" name="Award"/>
    <x:tableColumn id="2" name="Classification"/>
    <x:tableColumn id="3" name="Typical work stream / grade"/>
    <x:tableColumn id="4" name="Permanent $/week"/>
    <x:tableColumn id="5" name="Permanent $/hour"/>
    <x:tableColumn id="6" name="Casual weekday $/hour"/>
    <x:tableColumn id="7" name="Illustrative 52-week base"/>
    <x:tableColumn id="8" name="Official source 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icensedClubRates" displayName="LicensedClubRates" ref="A1:G16" headerRowCount="1" totalsRowCount="0" totalsRowShown="0">
  <x:tableColumns count="7">
    <x:tableColumn id="1" name="Classification"/>
    <x:tableColumn id="2" name="Typical description"/>
    <x:tableColumn id="3" name="Permanent $/week"/>
    <x:tableColumn id="4" name="Permanent $/hour"/>
    <x:tableColumn id="5" name="Casual ordinary $/hour"/>
    <x:tableColumn id="6" name="Manager annual award $ if specified"/>
    <x:tableColumn id="7" name="Official award 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naltyRules" displayName="PenaltyRules" ref="A1:C15" headerRowCount="1" totalsRowCount="0" totalsRowShown="0">
  <x:tableColumns count="3">
    <x:tableColumn id="1" name="Award or topic"/>
    <x:tableColumn id="2" name="Main rule / example"/>
    <x:tableColumn id="3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9c566fce32546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8c716f0117043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e695b3af0bb44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556b388fe9884bf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96" hidden="0" customWidth="1"/>
  </x:cols>
  <x:sheetData>
    <x:row r="1" ht="34" customHeight="1">
      <x:c r="A1" s="3" t="str">
        <x:v>NUA CREW | AUSTRALIAN HOSPITALITY ROLE &amp; AWARD MASTER</x:v>
      </x:c>
      <x:c r="B1" s="3" t="str"/>
    </x:row>
    <x:row r="2">
      <x:c r="A2" s="7" t="str">
        <x:v>Edition</x:v>
      </x:c>
      <x:c r="B2" s="10" t="str">
        <x:v>29 October 2026</x:v>
      </x:c>
    </x:row>
    <x:row r="3">
      <x:c r="A3" s="7" t="str">
        <x:v>Coverage</x:v>
      </x:c>
      <x:c r="B3" s="10" t="str">
        <x:v>Australia • minimum rates from first full pay period starting on or after 1 July 2026</x:v>
      </x:c>
    </x:row>
    <x:row r="4">
      <x:c r="A4" s="7" t="str">
        <x:v>Catalogue size</x:v>
      </x:c>
      <x:c r="B4" s="10" t="n">
        <x:v>287</x:v>
      </x:c>
    </x:row>
    <x:row r="5">
      <x:c r="A5" s="7" t="str">
        <x:v>Business segments</x:v>
      </x:c>
      <x:c r="B5" s="10" t="str">
        <x:v>Cafés, fine dining, bars, pubs, banquets, catering, hotels, clubs and allied roles</x:v>
      </x:c>
    </x:row>
    <x:row r="6">
      <x:c r="A6" s="14" t="str">
        <x:v>IMPORTANT</x:v>
      </x:c>
      <x:c r="B6" s="15" t="str">
        <x:v>Role title / hierarchy is NOT a legally definitive pay classification.</x:v>
      </x:c>
    </x:row>
    <x:row r="7">
      <x:c r="A7" s="7" t="str">
        <x:v>How to use</x:v>
      </x:c>
      <x:c r="B7" s="10" t="str">
        <x:v>Filter ROLE CATALOGUE by Department and Hierarchy Tier; validate actual duties before assigning awards.</x:v>
      </x:c>
    </x:row>
    <x:row r="8">
      <x:c r="A8" s="7" t="str">
        <x:v>Award selection</x:v>
      </x:c>
      <x:c r="B8" s="10" t="str">
        <x:v>Establish employer industry, award/enterprise agreement, duties, qualifications and employment type.</x:v>
      </x:c>
    </x:row>
    <x:row r="9">
      <x:c r="A9" s="7" t="str">
        <x:v>Adult rates</x:v>
      </x:c>
      <x:c r="B9" s="10" t="str">
        <x:v>Adult standard minimum ordinary-time rates; junior, apprentice, trainee and other arrangements vary.</x:v>
      </x:c>
    </x:row>
    <x:row r="10">
      <x:c r="A10" s="7" t="str">
        <x:v>Casual loading</x:v>
      </x:c>
      <x:c r="B10" s="10" t="str">
        <x:v>Ordinary hourly figures include 25% loading where applicable; penalty rates vary by award/day/grade.</x:v>
      </x:c>
    </x:row>
    <x:row r="11">
      <x:c r="A11" s="7" t="str">
        <x:v>Penalty and leave</x:v>
      </x:c>
      <x:c r="B11" s="10" t="str">
        <x:v>Weekend, night, overtime, public holiday, breaks, allowances and leave require individual assessment.</x:v>
      </x:c>
    </x:row>
    <x:row r="12">
      <x:c r="A12" s="7" t="str">
        <x:v>Superannuation</x:v>
      </x:c>
      <x:c r="B12" s="10" t="str">
        <x:v>12% super guarantee on qualifying earnings; payday super rules apply from 1 July 2026.</x:v>
      </x:c>
    </x:row>
    <x:row r="13">
      <x:c r="A13" s="7" t="str">
        <x:v>Primary source: Restaurant</x:v>
      </x:c>
      <x:c r="B13" s="10" t="str">
        <x:v>https://awards.fairwork.gov.au/MA000119.html</x:v>
      </x:c>
    </x:row>
    <x:row r="14">
      <x:c r="A14" s="7" t="str">
        <x:v>Primary source: Hospitality</x:v>
      </x:c>
      <x:c r="B14" s="10" t="str">
        <x:v>https://awards.fairwork.gov.au/MA000009.html</x:v>
      </x:c>
    </x:row>
    <x:row r="15">
      <x:c r="A15" s="7" t="str">
        <x:v>Primary source: Fast Food</x:v>
      </x:c>
      <x:c r="B15" s="10" t="str">
        <x:v>https://awards.fairwork.gov.au/MA000003.html</x:v>
      </x:c>
    </x:row>
    <x:row r="16">
      <x:c r="A16" s="7" t="str">
        <x:v>Primary source: Registered Clubs</x:v>
      </x:c>
      <x:c r="B16" s="10" t="str">
        <x:v>https://awards.fairwork.gov.au/MA000058.html</x:v>
      </x:c>
    </x:row>
    <x:row r="17">
      <x:c r="A17" s="7" t="str">
        <x:v>Fair Work PAY Calculator</x:v>
      </x:c>
      <x:c r="B17" s="10" t="str">
        <x:v>https://calculate.fairwork.gov.au/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37" hidden="0" customWidth="1"/>
    <x:col min="3" max="3" width="23" hidden="0" customWidth="1"/>
    <x:col min="4" max="4" width="39" hidden="0" customWidth="1"/>
    <x:col min="5" max="5" width="41" hidden="0" customWidth="1"/>
    <x:col min="6" max="6" width="41" hidden="0" customWidth="1"/>
    <x:col min="7" max="7" width="65" hidden="0" customWidth="1"/>
    <x:col min="8" max="8" width="55" hidden="0" customWidth="1"/>
  </x:cols>
  <x:sheetData>
    <x:row r="1" ht="30" customHeight="1">
      <x:c r="A1" s="21" t="str">
        <x:v>Role ID</x:v>
      </x:c>
      <x:c r="B1" s="21" t="str">
        <x:v>Department / Workstream</x:v>
      </x:c>
      <x:c r="C1" s="21" t="str">
        <x:v>Hierarchy Tier (1 highest)</x:v>
      </x:c>
      <x:c r="D1" s="21" t="str">
        <x:v>Job title / alias</x:v>
      </x:c>
      <x:c r="E1" s="21" t="str">
        <x:v>Indicative classification (NOT final)</x:v>
      </x:c>
      <x:c r="F1" s="21" t="str">
        <x:v>Typical award scope</x:v>
      </x:c>
      <x:c r="G1" s="21" t="str">
        <x:v>Compliance / mapping note</x:v>
      </x:c>
      <x:c r="H1" s="21" t="str">
        <x:v>Official source URL</x:v>
      </x:c>
    </x:row>
    <x:row r="2" ht="20" customHeight="1">
      <x:c r="A2" t="str">
        <x:v>HC-0001</x:v>
      </x:c>
      <x:c r="B2" t="str">
        <x:v>Corporate and venue leadership</x:v>
      </x:c>
      <x:c r="C2" s="24" t="n">
        <x:v>1</x:v>
      </x:c>
      <x:c r="D2" t="str">
        <x:v>Owner / Proprietor</x:v>
      </x:c>
      <x:c r="E2" t="str">
        <x:v>Owner—not employee</x:v>
      </x:c>
      <x:c r="F2" t="str">
        <x:v>Restaurant or Hospitality General / other</x:v>
      </x:c>
      <x:c r="G2" t="str">
        <x:v>Indicative only—classification must follow actual duties, coverage and qualifications.</x:v>
      </x:c>
      <x:c r="H2" t="str">
        <x:v>https://awards.fairwork.gov.au/MA000119.html</x:v>
      </x:c>
    </x:row>
    <x:row r="3" ht="20" customHeight="1">
      <x:c r="A3" t="str">
        <x:v>HC-0002</x:v>
      </x:c>
      <x:c r="B3" t="str">
        <x:v>Corporate and venue leadership</x:v>
      </x:c>
      <x:c r="C3" s="24" t="n">
        <x:v>1</x:v>
      </x:c>
      <x:c r="D3" t="str">
        <x:v>Chief Executive Officer (CEO)</x:v>
      </x:c>
      <x:c r="E3" t="str">
        <x:v>Senior management—review</x:v>
      </x:c>
      <x:c r="F3" t="str">
        <x:v>Restaurant or Hospitality General / other</x:v>
      </x:c>
      <x:c r="G3" t="str">
        <x:v>No automatic pay level from job title; review award coverage and managerial exclusion.</x:v>
      </x:c>
      <x:c r="H3" t="str">
        <x:v>https://awards.fairwork.gov.au/MA000119.html</x:v>
      </x:c>
    </x:row>
    <x:row r="4" ht="20" customHeight="1">
      <x:c r="A4" t="str">
        <x:v>HC-0003</x:v>
      </x:c>
      <x:c r="B4" t="str">
        <x:v>Corporate and venue leadership</x:v>
      </x:c>
      <x:c r="C4" s="24" t="n">
        <x:v>1</x:v>
      </x:c>
      <x:c r="D4" t="str">
        <x:v>Managing Director</x:v>
      </x:c>
      <x:c r="E4" t="str">
        <x:v>Senior management—review</x:v>
      </x:c>
      <x:c r="F4" t="str">
        <x:v>Restaurant or Hospitality General / other</x:v>
      </x:c>
      <x:c r="G4" t="str">
        <x:v>No automatic pay level from job title; review award coverage and managerial exclusion.</x:v>
      </x:c>
      <x:c r="H4" t="str">
        <x:v>https://awards.fairwork.gov.au/MA000119.html</x:v>
      </x:c>
    </x:row>
    <x:row r="5" ht="20" customHeight="1">
      <x:c r="A5" t="str">
        <x:v>HC-0004</x:v>
      </x:c>
      <x:c r="B5" t="str">
        <x:v>Corporate and venue leadership</x:v>
      </x:c>
      <x:c r="C5" s="24" t="n">
        <x:v>1</x:v>
      </x:c>
      <x:c r="D5" t="str">
        <x:v>Chief Operating Officer (COO)</x:v>
      </x:c>
      <x:c r="E5" t="str">
        <x:v>Senior management—review</x:v>
      </x:c>
      <x:c r="F5" t="str">
        <x:v>Restaurant or Hospitality General / other</x:v>
      </x:c>
      <x:c r="G5" t="str">
        <x:v>No automatic pay level from job title; review award coverage and managerial exclusion.</x:v>
      </x:c>
      <x:c r="H5" t="str">
        <x:v>https://awards.fairwork.gov.au/MA000119.html</x:v>
      </x:c>
    </x:row>
    <x:row r="6" ht="20" customHeight="1">
      <x:c r="A6" t="str">
        <x:v>HC-0005</x:v>
      </x:c>
      <x:c r="B6" t="str">
        <x:v>Corporate and venue leadership</x:v>
      </x:c>
      <x:c r="C6" s="24" t="n">
        <x:v>2</x:v>
      </x:c>
      <x:c r="D6" t="str">
        <x:v>Group General Manager</x:v>
      </x:c>
      <x:c r="E6" t="str">
        <x:v>Management—review</x:v>
      </x:c>
      <x:c r="F6" t="str">
        <x:v>Restaurant or Hospitality General / other</x:v>
      </x:c>
      <x:c r="G6" t="str">
        <x:v>No automatic pay level from job title; review award coverage and managerial exclusion.</x:v>
      </x:c>
      <x:c r="H6" t="str">
        <x:v>https://awards.fairwork.gov.au/MA000119.html</x:v>
      </x:c>
    </x:row>
    <x:row r="7" ht="20" customHeight="1">
      <x:c r="A7" t="str">
        <x:v>HC-0006</x:v>
      </x:c>
      <x:c r="B7" t="str">
        <x:v>Corporate and venue leadership</x:v>
      </x:c>
      <x:c r="C7" s="24" t="n">
        <x:v>2</x:v>
      </x:c>
      <x:c r="D7" t="str">
        <x:v>Group Operations Director</x:v>
      </x:c>
      <x:c r="E7" t="str">
        <x:v>Management—review</x:v>
      </x:c>
      <x:c r="F7" t="str">
        <x:v>Restaurant or Hospitality General / other</x:v>
      </x:c>
      <x:c r="G7" t="str">
        <x:v>No automatic pay level from job title; review award coverage and managerial exclusion.</x:v>
      </x:c>
      <x:c r="H7" t="str">
        <x:v>https://awards.fairwork.gov.au/MA000119.html</x:v>
      </x:c>
    </x:row>
    <x:row r="8" ht="20" customHeight="1">
      <x:c r="A8" t="str">
        <x:v>HC-0007</x:v>
      </x:c>
      <x:c r="B8" t="str">
        <x:v>Corporate and venue leadership</x:v>
      </x:c>
      <x:c r="C8" s="24" t="n">
        <x:v>2</x:v>
      </x:c>
      <x:c r="D8" t="str">
        <x:v>Regional Operations Manager</x:v>
      </x:c>
      <x:c r="E8" t="str">
        <x:v>Management—review</x:v>
      </x:c>
      <x:c r="F8" t="str">
        <x:v>Restaurant or Hospitality General / other</x:v>
      </x:c>
      <x:c r="G8" t="str">
        <x:v>No automatic pay level from job title; review award coverage and managerial exclusion.</x:v>
      </x:c>
      <x:c r="H8" t="str">
        <x:v>https://awards.fairwork.gov.au/MA000119.html</x:v>
      </x:c>
    </x:row>
    <x:row r="9" ht="20" customHeight="1">
      <x:c r="A9" t="str">
        <x:v>HC-0008</x:v>
      </x:c>
      <x:c r="B9" t="str">
        <x:v>Corporate and venue leadership</x:v>
      </x:c>
      <x:c r="C9" s="24" t="n">
        <x:v>2</x:v>
      </x:c>
      <x:c r="D9" t="str">
        <x:v>Director of Food and Beverage</x:v>
      </x:c>
      <x:c r="E9" t="str">
        <x:v>Management—review</x:v>
      </x:c>
      <x:c r="F9" t="str">
        <x:v>Restaurant or Hospitality General / other</x:v>
      </x:c>
      <x:c r="G9" t="str">
        <x:v>No automatic pay level from job title; review award coverage and managerial exclusion.</x:v>
      </x:c>
      <x:c r="H9" t="str">
        <x:v>https://awards.fairwork.gov.au/MA000119.html</x:v>
      </x:c>
    </x:row>
    <x:row r="10" ht="20" customHeight="1">
      <x:c r="A10" t="str">
        <x:v>HC-0009</x:v>
      </x:c>
      <x:c r="B10" t="str">
        <x:v>Corporate and venue leadership</x:v>
      </x:c>
      <x:c r="C10" s="24" t="n">
        <x:v>2</x:v>
      </x:c>
      <x:c r="D10" t="str">
        <x:v>Director of Restaurants</x:v>
      </x:c>
      <x:c r="E10" t="str">
        <x:v>Management—review</x:v>
      </x:c>
      <x:c r="F10" t="str">
        <x:v>Restaurant or Hospitality General / other</x:v>
      </x:c>
      <x:c r="G10" t="str">
        <x:v>No automatic pay level from job title; review award coverage and managerial exclusion.</x:v>
      </x:c>
      <x:c r="H10" t="str">
        <x:v>https://awards.fairwork.gov.au/MA000119.html</x:v>
      </x:c>
    </x:row>
    <x:row r="11" ht="20" customHeight="1">
      <x:c r="A11" t="str">
        <x:v>HC-0010</x:v>
      </x:c>
      <x:c r="B11" t="str">
        <x:v>Corporate and venue leadership</x:v>
      </x:c>
      <x:c r="C11" s="24" t="n">
        <x:v>2</x:v>
      </x:c>
      <x:c r="D11" t="str">
        <x:v>Director of Rooms</x:v>
      </x:c>
      <x:c r="E11" t="str">
        <x:v>Management—review</x:v>
      </x:c>
      <x:c r="F11" t="str">
        <x:v>Restaurant or Hospitality General / other</x:v>
      </x:c>
      <x:c r="G11" t="str">
        <x:v>No automatic pay level from job title; review award coverage and managerial exclusion.</x:v>
      </x:c>
      <x:c r="H11" t="str">
        <x:v>https://awards.fairwork.gov.au/MA000119.html</x:v>
      </x:c>
    </x:row>
    <x:row r="12" ht="20" customHeight="1">
      <x:c r="A12" t="str">
        <x:v>HC-0011</x:v>
      </x:c>
      <x:c r="B12" t="str">
        <x:v>Corporate and venue leadership</x:v>
      </x:c>
      <x:c r="C12" s="24" t="n">
        <x:v>2</x:v>
      </x:c>
      <x:c r="D12" t="str">
        <x:v>Director of Events</x:v>
      </x:c>
      <x:c r="E12" t="str">
        <x:v>Management—review</x:v>
      </x:c>
      <x:c r="F12" t="str">
        <x:v>Restaurant or Hospitality General / other</x:v>
      </x:c>
      <x:c r="G12" t="str">
        <x:v>No automatic pay level from job title; review award coverage and managerial exclusion.</x:v>
      </x:c>
      <x:c r="H12" t="str">
        <x:v>https://awards.fairwork.gov.au/MA000119.html</x:v>
      </x:c>
    </x:row>
    <x:row r="13" ht="20" customHeight="1">
      <x:c r="A13" t="str">
        <x:v>HC-0012</x:v>
      </x:c>
      <x:c r="B13" t="str">
        <x:v>Corporate and venue leadership</x:v>
      </x:c>
      <x:c r="C13" s="24" t="n">
        <x:v>2</x:v>
      </x:c>
      <x:c r="D13" t="str">
        <x:v>Area Manager</x:v>
      </x:c>
      <x:c r="E13" t="str">
        <x:v>Management—review</x:v>
      </x:c>
      <x:c r="F13" t="str">
        <x:v>Restaurant or Hospitality General / other</x:v>
      </x:c>
      <x:c r="G13" t="str">
        <x:v>No automatic pay level from job title; review award coverage and managerial exclusion.</x:v>
      </x:c>
      <x:c r="H13" t="str">
        <x:v>https://awards.fairwork.gov.au/MA000119.html</x:v>
      </x:c>
    </x:row>
    <x:row r="14" ht="20" customHeight="1">
      <x:c r="A14" t="str">
        <x:v>HC-0013</x:v>
      </x:c>
      <x:c r="B14" t="str">
        <x:v>Corporate and venue leadership</x:v>
      </x:c>
      <x:c r="C14" s="24" t="n">
        <x:v>3</x:v>
      </x:c>
      <x:c r="D14" t="str">
        <x:v>Hotel General Manager</x:v>
      </x:c>
      <x:c r="E14" t="str">
        <x:v>Hotel managerial / senior—review</x:v>
      </x:c>
      <x:c r="F14" t="str">
        <x:v>Restaurant or Hospitality General / other</x:v>
      </x:c>
      <x:c r="G14" t="str">
        <x:v>No automatic pay level from job title; review award coverage and managerial exclusion.</x:v>
      </x:c>
      <x:c r="H14" t="str">
        <x:v>https://awards.fairwork.gov.au/MA000119.html</x:v>
      </x:c>
    </x:row>
    <x:row r="15" ht="20" customHeight="1">
      <x:c r="A15" t="str">
        <x:v>HC-0014</x:v>
      </x:c>
      <x:c r="B15" t="str">
        <x:v>Corporate and venue leadership</x:v>
      </x:c>
      <x:c r="C15" s="24" t="n">
        <x:v>3</x:v>
      </x:c>
      <x:c r="D15" t="str">
        <x:v>Venue General Manager</x:v>
      </x:c>
      <x:c r="E15" t="str">
        <x:v>Management—review</x:v>
      </x:c>
      <x:c r="F15" t="str">
        <x:v>Restaurant or Hospitality General / other</x:v>
      </x:c>
      <x:c r="G15" t="str">
        <x:v>No automatic pay level from job title; review award coverage and managerial exclusion.</x:v>
      </x:c>
      <x:c r="H15" t="str">
        <x:v>https://awards.fairwork.gov.au/MA000119.html</x:v>
      </x:c>
    </x:row>
    <x:row r="16" ht="20" customHeight="1">
      <x:c r="A16" t="str">
        <x:v>HC-0015</x:v>
      </x:c>
      <x:c r="B16" t="str">
        <x:v>Corporate and venue leadership</x:v>
      </x:c>
      <x:c r="C16" s="24" t="n">
        <x:v>3</x:v>
      </x:c>
      <x:c r="D16" t="str">
        <x:v>Operations Manager</x:v>
      </x:c>
      <x:c r="E16" t="str">
        <x:v>Management—review</x:v>
      </x:c>
      <x:c r="F16" t="str">
        <x:v>Restaurant or Hospitality General / other</x:v>
      </x:c>
      <x:c r="G16" t="str">
        <x:v>No automatic pay level from job title; review award coverage and managerial exclusion.</x:v>
      </x:c>
      <x:c r="H16" t="str">
        <x:v>https://awards.fairwork.gov.au/MA000119.html</x:v>
      </x:c>
    </x:row>
    <x:row r="17" ht="20" customHeight="1">
      <x:c r="A17" t="str">
        <x:v>HC-0016</x:v>
      </x:c>
      <x:c r="B17" t="str">
        <x:v>Corporate and venue leadership</x:v>
      </x:c>
      <x:c r="C17" s="24" t="n">
        <x:v>3</x:v>
      </x:c>
      <x:c r="D17" t="str">
        <x:v>Restaurant Manager</x:v>
      </x:c>
      <x:c r="E17" t="str">
        <x:v>Management—review</x:v>
      </x:c>
      <x:c r="F17" t="str">
        <x:v>Restaurant or Hospitality General / other</x:v>
      </x:c>
      <x:c r="G17" t="str">
        <x:v>No automatic pay level from job title; review award coverage and managerial exclusion.</x:v>
      </x:c>
      <x:c r="H17" t="str">
        <x:v>https://awards.fairwork.gov.au/MA000119.html</x:v>
      </x:c>
    </x:row>
    <x:row r="18" ht="20" customHeight="1">
      <x:c r="A18" t="str">
        <x:v>HC-0017</x:v>
      </x:c>
      <x:c r="B18" t="str">
        <x:v>Corporate and venue leadership</x:v>
      </x:c>
      <x:c r="C18" s="24" t="n">
        <x:v>3</x:v>
      </x:c>
      <x:c r="D18" t="str">
        <x:v>Café Manager</x:v>
      </x:c>
      <x:c r="E18" t="str">
        <x:v>Management—review</x:v>
      </x:c>
      <x:c r="F18" t="str">
        <x:v>Restaurant or Hospitality General / other</x:v>
      </x:c>
      <x:c r="G18" t="str">
        <x:v>No automatic pay level from job title; review award coverage and managerial exclusion.</x:v>
      </x:c>
      <x:c r="H18" t="str">
        <x:v>https://awards.fairwork.gov.au/MA000119.html</x:v>
      </x:c>
    </x:row>
    <x:row r="19" ht="20" customHeight="1">
      <x:c r="A19" t="str">
        <x:v>HC-0018</x:v>
      </x:c>
      <x:c r="B19" t="str">
        <x:v>Corporate and venue leadership</x:v>
      </x:c>
      <x:c r="C19" s="24" t="n">
        <x:v>3</x:v>
      </x:c>
      <x:c r="D19" t="str">
        <x:v>Bar / Pub Manager</x:v>
      </x:c>
      <x:c r="E19" t="str">
        <x:v>Management—review</x:v>
      </x:c>
      <x:c r="F19" t="str">
        <x:v>Restaurant or Hospitality General / other</x:v>
      </x:c>
      <x:c r="G19" t="str">
        <x:v>No automatic pay level from job title; review award coverage and managerial exclusion.</x:v>
      </x:c>
      <x:c r="H19" t="str">
        <x:v>https://awards.fairwork.gov.au/MA000119.html</x:v>
      </x:c>
    </x:row>
    <x:row r="20" ht="20" customHeight="1">
      <x:c r="A20" t="str">
        <x:v>HC-0019</x:v>
      </x:c>
      <x:c r="B20" t="str">
        <x:v>Corporate and venue leadership</x:v>
      </x:c>
      <x:c r="C20" s="24" t="n">
        <x:v>3</x:v>
      </x:c>
      <x:c r="D20" t="str">
        <x:v>Banquet Manager</x:v>
      </x:c>
      <x:c r="E20" t="str">
        <x:v>Management—review</x:v>
      </x:c>
      <x:c r="F20" t="str">
        <x:v>Restaurant or Hospitality General / other</x:v>
      </x:c>
      <x:c r="G20" t="str">
        <x:v>No automatic pay level from job title; review award coverage and managerial exclusion.</x:v>
      </x:c>
      <x:c r="H20" t="str">
        <x:v>https://awards.fairwork.gov.au/MA000119.html</x:v>
      </x:c>
    </x:row>
    <x:row r="21" ht="20" customHeight="1">
      <x:c r="A21" t="str">
        <x:v>HC-0020</x:v>
      </x:c>
      <x:c r="B21" t="str">
        <x:v>Corporate and venue leadership</x:v>
      </x:c>
      <x:c r="C21" s="24" t="n">
        <x:v>3</x:v>
      </x:c>
      <x:c r="D21" t="str">
        <x:v>Club Manager</x:v>
      </x:c>
      <x:c r="E21" t="str">
        <x:v>Clubs L6–L13 or review</x:v>
      </x:c>
      <x:c r="F21" t="str">
        <x:v>Restaurant or Hospitality General / other</x:v>
      </x:c>
      <x:c r="G21" t="str">
        <x:v>No automatic pay level from job title; review award coverage and managerial exclusion.</x:v>
      </x:c>
      <x:c r="H21" t="str">
        <x:v>https://awards.fairwork.gov.au/MA000119.html</x:v>
      </x:c>
    </x:row>
    <x:row r="22" ht="20" customHeight="1">
      <x:c r="A22" t="str">
        <x:v>HC-0021</x:v>
      </x:c>
      <x:c r="B22" t="str">
        <x:v>Corporate and venue leadership</x:v>
      </x:c>
      <x:c r="C22" s="24" t="n">
        <x:v>4</x:v>
      </x:c>
      <x:c r="D22" t="str">
        <x:v>Assistant Venue Manager</x:v>
      </x:c>
      <x:c r="E22" t="str">
        <x:v>Supervisory or management—review</x:v>
      </x:c>
      <x:c r="F22" t="str">
        <x:v>Restaurant or Hospitality General / other</x:v>
      </x:c>
      <x:c r="G22" t="str">
        <x:v>No automatic pay level from job title; review award coverage and managerial exclusion.</x:v>
      </x:c>
      <x:c r="H22" t="str">
        <x:v>https://awards.fairwork.gov.au/MA000119.html</x:v>
      </x:c>
    </x:row>
    <x:row r="23" ht="20" customHeight="1">
      <x:c r="A23" t="str">
        <x:v>HC-0022</x:v>
      </x:c>
      <x:c r="B23" t="str">
        <x:v>Corporate and venue leadership</x:v>
      </x:c>
      <x:c r="C23" s="24" t="n">
        <x:v>4</x:v>
      </x:c>
      <x:c r="D23" t="str">
        <x:v>Duty Manager</x:v>
      </x:c>
      <x:c r="E23" t="str">
        <x:v>Supervisory or management—review</x:v>
      </x:c>
      <x:c r="F23" t="str">
        <x:v>Restaurant or Hospitality General / other</x:v>
      </x:c>
      <x:c r="G23" t="str">
        <x:v>No automatic pay level from job title; review award coverage and managerial exclusion.</x:v>
      </x:c>
      <x:c r="H23" t="str">
        <x:v>https://awards.fairwork.gov.au/MA000119.html</x:v>
      </x:c>
    </x:row>
    <x:row r="24" ht="20" customHeight="1">
      <x:c r="A24" t="str">
        <x:v>HC-0023</x:v>
      </x:c>
      <x:c r="B24" t="str">
        <x:v>Corporate and venue leadership</x:v>
      </x:c>
      <x:c r="C24" s="24" t="n">
        <x:v>4</x:v>
      </x:c>
      <x:c r="D24" t="str">
        <x:v>Shift Manager</x:v>
      </x:c>
      <x:c r="E24" t="str">
        <x:v>Supervisor / managerial—review</x:v>
      </x:c>
      <x:c r="F24" t="str">
        <x:v>Restaurant or Hospitality General / other</x:v>
      </x:c>
      <x:c r="G24" t="str">
        <x:v>No automatic pay level from job title; review award coverage and managerial exclusion.</x:v>
      </x:c>
      <x:c r="H24" t="str">
        <x:v>https://awards.fairwork.gov.au/MA000119.html</x:v>
      </x:c>
    </x:row>
    <x:row r="25" ht="20" customHeight="1">
      <x:c r="A25" t="str">
        <x:v>HC-0024</x:v>
      </x:c>
      <x:c r="B25" t="str">
        <x:v>Café and casual dining</x:v>
      </x:c>
      <x:c r="C25" s="24" t="n">
        <x:v>3</x:v>
      </x:c>
      <x:c r="D25" t="str">
        <x:v>Café Manager</x:v>
      </x:c>
      <x:c r="E25" t="str">
        <x:v>Management—review</x:v>
      </x:c>
      <x:c r="F25" t="str">
        <x:v>Restaurant (MA000119) or Fast Food (MA000003)</x:v>
      </x:c>
      <x:c r="G25" t="str">
        <x:v>No automatic pay level from job title; review award coverage and managerial exclusion.</x:v>
      </x:c>
      <x:c r="H25" t="str">
        <x:v>https://library.fairwork.gov.au/viewer/?krn=K600364</x:v>
      </x:c>
    </x:row>
    <x:row r="26" ht="20" customHeight="1">
      <x:c r="A26" t="str">
        <x:v>HC-0025</x:v>
      </x:c>
      <x:c r="B26" t="str">
        <x:v>Café and casual dining</x:v>
      </x:c>
      <x:c r="C26" s="24" t="n">
        <x:v>4</x:v>
      </x:c>
      <x:c r="D26" t="str">
        <x:v>Assistant Café Manager</x:v>
      </x:c>
      <x:c r="E26" t="str">
        <x:v>Management / L5—review</x:v>
      </x:c>
      <x:c r="F26" t="str">
        <x:v>Restaurant (MA000119) or Fast Food (MA000003)</x:v>
      </x:c>
      <x:c r="G26" t="str">
        <x:v>No automatic pay level from job title; review award coverage and managerial exclusion.</x:v>
      </x:c>
      <x:c r="H26" t="str">
        <x:v>https://library.fairwork.gov.au/viewer/?krn=K600364</x:v>
      </x:c>
    </x:row>
    <x:row r="27" ht="20" customHeight="1">
      <x:c r="A27" t="str">
        <x:v>HC-0026</x:v>
      </x:c>
      <x:c r="B27" t="str">
        <x:v>Café and casual dining</x:v>
      </x:c>
      <x:c r="C27" s="24" t="n">
        <x:v>5</x:v>
      </x:c>
      <x:c r="D27" t="str">
        <x:v>Café Floor Supervisor</x:v>
      </x:c>
      <x:c r="E27" t="str">
        <x:v>L5 if supervisor definition met</x:v>
      </x:c>
      <x:c r="F27" t="str">
        <x:v>Restaurant (MA000119) or Fast Food (MA000003)</x:v>
      </x:c>
      <x:c r="G27" t="str">
        <x:v>Indicative only—classification must follow actual duties, coverage and qualifications.</x:v>
      </x:c>
      <x:c r="H27" t="str">
        <x:v>https://library.fairwork.gov.au/viewer/?krn=K600364</x:v>
      </x:c>
    </x:row>
    <x:row r="28" ht="20" customHeight="1">
      <x:c r="A28" t="str">
        <x:v>HC-0027</x:v>
      </x:c>
      <x:c r="B28" t="str">
        <x:v>Café and casual dining</x:v>
      </x:c>
      <x:c r="C28" s="24" t="n">
        <x:v>5</x:v>
      </x:c>
      <x:c r="D28" t="str">
        <x:v>Head Barista</x:v>
      </x:c>
      <x:c r="E28" t="str">
        <x:v>L3–L5 (duties-based)</x:v>
      </x:c>
      <x:c r="F28" t="str">
        <x:v>Restaurant (MA000119) or Fast Food (MA000003)</x:v>
      </x:c>
      <x:c r="G28" t="str">
        <x:v>Indicative only—classification must follow actual duties, coverage and qualifications.</x:v>
      </x:c>
      <x:c r="H28" t="str">
        <x:v>https://library.fairwork.gov.au/viewer/?krn=K600364</x:v>
      </x:c>
    </x:row>
    <x:row r="29" ht="20" customHeight="1">
      <x:c r="A29" t="str">
        <x:v>HC-0028</x:v>
      </x:c>
      <x:c r="B29" t="str">
        <x:v>Café and casual dining</x:v>
      </x:c>
      <x:c r="C29" s="24" t="n">
        <x:v>5</x:v>
      </x:c>
      <x:c r="D29" t="str">
        <x:v>Shift Supervisor</x:v>
      </x:c>
      <x:c r="E29" t="str">
        <x:v>L5 if supervisor definition met</x:v>
      </x:c>
      <x:c r="F29" t="str">
        <x:v>Restaurant (MA000119) or Fast Food (MA000003)</x:v>
      </x:c>
      <x:c r="G29" t="str">
        <x:v>Indicative only—classification must follow actual duties, coverage and qualifications.</x:v>
      </x:c>
      <x:c r="H29" t="str">
        <x:v>https://library.fairwork.gov.au/viewer/?krn=K600364</x:v>
      </x:c>
    </x:row>
    <x:row r="30" ht="20" customHeight="1">
      <x:c r="A30" t="str">
        <x:v>HC-0029</x:v>
      </x:c>
      <x:c r="B30" t="str">
        <x:v>Café and casual dining</x:v>
      </x:c>
      <x:c r="C30" s="24" t="n">
        <x:v>6</x:v>
      </x:c>
      <x:c r="D30" t="str">
        <x:v>Senior Barista</x:v>
      </x:c>
      <x:c r="E30" t="str">
        <x:v>L3 (duties-based)</x:v>
      </x:c>
      <x:c r="F30" t="str">
        <x:v>Restaurant (MA000119) or Fast Food (MA000003)</x:v>
      </x:c>
      <x:c r="G30" t="str">
        <x:v>Indicative only—classification must follow actual duties, coverage and qualifications.</x:v>
      </x:c>
      <x:c r="H30" t="str">
        <x:v>https://library.fairwork.gov.au/viewer/?krn=K600364</x:v>
      </x:c>
    </x:row>
    <x:row r="31" ht="20" customHeight="1">
      <x:c r="A31" t="str">
        <x:v>HC-0030</x:v>
      </x:c>
      <x:c r="B31" t="str">
        <x:v>Café and casual dining</x:v>
      </x:c>
      <x:c r="C31" s="24" t="n">
        <x:v>6</x:v>
      </x:c>
      <x:c r="D31" t="str">
        <x:v>Senior Café All-Rounder</x:v>
      </x:c>
      <x:c r="E31" t="str">
        <x:v>L2–L3</x:v>
      </x:c>
      <x:c r="F31" t="str">
        <x:v>Restaurant (MA000119) or Fast Food (MA000003)</x:v>
      </x:c>
      <x:c r="G31" t="str">
        <x:v>Indicative only—classification must follow actual duties, coverage and qualifications.</x:v>
      </x:c>
      <x:c r="H31" t="str">
        <x:v>https://library.fairwork.gov.au/viewer/?krn=K600364</x:v>
      </x:c>
    </x:row>
    <x:row r="32" ht="20" customHeight="1">
      <x:c r="A32" t="str">
        <x:v>HC-0031</x:v>
      </x:c>
      <x:c r="B32" t="str">
        <x:v>Café and casual dining</x:v>
      </x:c>
      <x:c r="C32" s="24" t="n">
        <x:v>6</x:v>
      </x:c>
      <x:c r="D32" t="str">
        <x:v>Specialty Coffee Trainer</x:v>
      </x:c>
      <x:c r="E32" t="str">
        <x:v>L3–L5 (duties-based)</x:v>
      </x:c>
      <x:c r="F32" t="str">
        <x:v>Restaurant (MA000119) or Fast Food (MA000003)</x:v>
      </x:c>
      <x:c r="G32" t="str">
        <x:v>Indicative only—classification must follow actual duties, coverage and qualifications.</x:v>
      </x:c>
      <x:c r="H32" t="str">
        <x:v>https://library.fairwork.gov.au/viewer/?krn=K600364</x:v>
      </x:c>
    </x:row>
    <x:row r="33" ht="20" customHeight="1">
      <x:c r="A33" t="str">
        <x:v>HC-0032</x:v>
      </x:c>
      <x:c r="B33" t="str">
        <x:v>Café and casual dining</x:v>
      </x:c>
      <x:c r="C33" s="24" t="n">
        <x:v>7</x:v>
      </x:c>
      <x:c r="D33" t="str">
        <x:v>Barista</x:v>
      </x:c>
      <x:c r="E33" t="str">
        <x:v>L2–L3 (duties-based)</x:v>
      </x:c>
      <x:c r="F33" t="str">
        <x:v>Restaurant (MA000119) or Fast Food (MA000003)</x:v>
      </x:c>
      <x:c r="G33" t="str">
        <x:v>Indicative only—classification must follow actual duties, coverage and qualifications.</x:v>
      </x:c>
      <x:c r="H33" t="str">
        <x:v>https://library.fairwork.gov.au/viewer/?krn=K600364</x:v>
      </x:c>
    </x:row>
    <x:row r="34" ht="20" customHeight="1">
      <x:c r="A34" t="str">
        <x:v>HC-0033</x:v>
      </x:c>
      <x:c r="B34" t="str">
        <x:v>Café and casual dining</x:v>
      </x:c>
      <x:c r="C34" s="24" t="n">
        <x:v>7</x:v>
      </x:c>
      <x:c r="D34" t="str">
        <x:v>Café All-Rounder</x:v>
      </x:c>
      <x:c r="E34" t="str">
        <x:v>L2–L3</x:v>
      </x:c>
      <x:c r="F34" t="str">
        <x:v>Restaurant (MA000119) or Fast Food (MA000003)</x:v>
      </x:c>
      <x:c r="G34" t="str">
        <x:v>Indicative only—classification must follow actual duties, coverage and qualifications.</x:v>
      </x:c>
      <x:c r="H34" t="str">
        <x:v>https://library.fairwork.gov.au/viewer/?krn=K600364</x:v>
      </x:c>
    </x:row>
    <x:row r="35" ht="20" customHeight="1">
      <x:c r="A35" t="str">
        <x:v>HC-0034</x:v>
      </x:c>
      <x:c r="B35" t="str">
        <x:v>Café and casual dining</x:v>
      </x:c>
      <x:c r="C35" s="24" t="n">
        <x:v>7</x:v>
      </x:c>
      <x:c r="D35" t="str">
        <x:v>Sandwich / Toastie Maker</x:v>
      </x:c>
      <x:c r="E35" t="str">
        <x:v>Kitchen L2–L3 (duties-based)</x:v>
      </x:c>
      <x:c r="F35" t="str">
        <x:v>Restaurant (MA000119) or Fast Food (MA000003)</x:v>
      </x:c>
      <x:c r="G35" t="str">
        <x:v>Indicative only—classification must follow actual duties, coverage and qualifications.</x:v>
      </x:c>
      <x:c r="H35" t="str">
        <x:v>https://library.fairwork.gov.au/viewer/?krn=K600364</x:v>
      </x:c>
    </x:row>
    <x:row r="36" ht="20" customHeight="1">
      <x:c r="A36" t="str">
        <x:v>HC-0035</x:v>
      </x:c>
      <x:c r="B36" t="str">
        <x:v>Café and casual dining</x:v>
      </x:c>
      <x:c r="C36" s="24" t="n">
        <x:v>7</x:v>
      </x:c>
      <x:c r="D36" t="str">
        <x:v>Counter Attendant</x:v>
      </x:c>
      <x:c r="E36" t="str">
        <x:v>L2 (duties-based)</x:v>
      </x:c>
      <x:c r="F36" t="str">
        <x:v>Restaurant (MA000119) or Fast Food (MA000003)</x:v>
      </x:c>
      <x:c r="G36" t="str">
        <x:v>Indicative only—classification must follow actual duties, coverage and qualifications.</x:v>
      </x:c>
      <x:c r="H36" t="str">
        <x:v>https://library.fairwork.gov.au/viewer/?krn=K600364</x:v>
      </x:c>
    </x:row>
    <x:row r="37" ht="20" customHeight="1">
      <x:c r="A37" t="str">
        <x:v>HC-0036</x:v>
      </x:c>
      <x:c r="B37" t="str">
        <x:v>Café and casual dining</x:v>
      </x:c>
      <x:c r="C37" s="24" t="n">
        <x:v>7</x:v>
      </x:c>
      <x:c r="D37" t="str">
        <x:v>Cashier / POS Attendant</x:v>
      </x:c>
      <x:c r="E37" t="str">
        <x:v>L1–L2</x:v>
      </x:c>
      <x:c r="F37" t="str">
        <x:v>Restaurant (MA000119) or Fast Food (MA000003)</x:v>
      </x:c>
      <x:c r="G37" t="str">
        <x:v>Indicative only—classification must follow actual duties, coverage and qualifications.</x:v>
      </x:c>
      <x:c r="H37" t="str">
        <x:v>https://library.fairwork.gov.au/viewer/?krn=K600364</x:v>
      </x:c>
    </x:row>
    <x:row r="38" ht="20" customHeight="1">
      <x:c r="A38" t="str">
        <x:v>HC-0037</x:v>
      </x:c>
      <x:c r="B38" t="str">
        <x:v>Café and casual dining</x:v>
      </x:c>
      <x:c r="C38" s="24" t="n">
        <x:v>7</x:v>
      </x:c>
      <x:c r="D38" t="str">
        <x:v>Food and Beverage Attendant</x:v>
      </x:c>
      <x:c r="E38" t="str">
        <x:v>L2–L3</x:v>
      </x:c>
      <x:c r="F38" t="str">
        <x:v>Restaurant (MA000119) or Fast Food (MA000003)</x:v>
      </x:c>
      <x:c r="G38" t="str">
        <x:v>Indicative only—classification must follow actual duties, coverage and qualifications.</x:v>
      </x:c>
      <x:c r="H38" t="str">
        <x:v>https://library.fairwork.gov.au/viewer/?krn=K600364</x:v>
      </x:c>
    </x:row>
    <x:row r="39" ht="20" customHeight="1">
      <x:c r="A39" t="str">
        <x:v>HC-0038</x:v>
      </x:c>
      <x:c r="B39" t="str">
        <x:v>Café and casual dining</x:v>
      </x:c>
      <x:c r="C39" s="24" t="n">
        <x:v>7</x:v>
      </x:c>
      <x:c r="D39" t="str">
        <x:v>Host / Greeter</x:v>
      </x:c>
      <x:c r="E39" t="str">
        <x:v>L2–L3 (duties-based)</x:v>
      </x:c>
      <x:c r="F39" t="str">
        <x:v>Restaurant (MA000119) or Fast Food (MA000003)</x:v>
      </x:c>
      <x:c r="G39" t="str">
        <x:v>Indicative only—classification must follow actual duties, coverage and qualifications.</x:v>
      </x:c>
      <x:c r="H39" t="str">
        <x:v>https://library.fairwork.gov.au/viewer/?krn=K600364</x:v>
      </x:c>
    </x:row>
    <x:row r="40" ht="20" customHeight="1">
      <x:c r="A40" t="str">
        <x:v>HC-0039</x:v>
      </x:c>
      <x:c r="B40" t="str">
        <x:v>Café and casual dining</x:v>
      </x:c>
      <x:c r="C40" s="24" t="n">
        <x:v>8</x:v>
      </x:c>
      <x:c r="D40" t="str">
        <x:v>Food Runner</x:v>
      </x:c>
      <x:c r="E40" t="str">
        <x:v>L1–L2</x:v>
      </x:c>
      <x:c r="F40" t="str">
        <x:v>Restaurant (MA000119) or Fast Food (MA000003)</x:v>
      </x:c>
      <x:c r="G40" t="str">
        <x:v>Indicative only—classification must follow actual duties, coverage and qualifications.</x:v>
      </x:c>
      <x:c r="H40" t="str">
        <x:v>https://library.fairwork.gov.au/viewer/?krn=K600364</x:v>
      </x:c>
    </x:row>
    <x:row r="41" ht="20" customHeight="1">
      <x:c r="A41" t="str">
        <x:v>HC-0040</x:v>
      </x:c>
      <x:c r="B41" t="str">
        <x:v>Café and casual dining</x:v>
      </x:c>
      <x:c r="C41" s="24" t="n">
        <x:v>8</x:v>
      </x:c>
      <x:c r="D41" t="str">
        <x:v>Bussers / Table Clearer</x:v>
      </x:c>
      <x:c r="E41" t="str">
        <x:v>L1</x:v>
      </x:c>
      <x:c r="F41" t="str">
        <x:v>Restaurant (MA000119) or Fast Food (MA000003)</x:v>
      </x:c>
      <x:c r="G41" t="str">
        <x:v>Indicative only—classification must follow actual duties, coverage and qualifications.</x:v>
      </x:c>
      <x:c r="H41" t="str">
        <x:v>https://library.fairwork.gov.au/viewer/?krn=K600364</x:v>
      </x:c>
    </x:row>
    <x:row r="42" ht="20" customHeight="1">
      <x:c r="A42" t="str">
        <x:v>HC-0041</x:v>
      </x:c>
      <x:c r="B42" t="str">
        <x:v>Café and casual dining</x:v>
      </x:c>
      <x:c r="C42" s="24" t="n">
        <x:v>8</x:v>
      </x:c>
      <x:c r="D42" t="str">
        <x:v>Coffee Runner</x:v>
      </x:c>
      <x:c r="E42" t="str">
        <x:v>L1–L2</x:v>
      </x:c>
      <x:c r="F42" t="str">
        <x:v>Restaurant (MA000119) or Fast Food (MA000003)</x:v>
      </x:c>
      <x:c r="G42" t="str">
        <x:v>Indicative only—classification must follow actual duties, coverage and qualifications.</x:v>
      </x:c>
      <x:c r="H42" t="str">
        <x:v>https://library.fairwork.gov.au/viewer/?krn=K600364</x:v>
      </x:c>
    </x:row>
    <x:row r="43" ht="20" customHeight="1">
      <x:c r="A43" t="str">
        <x:v>HC-0042</x:v>
      </x:c>
      <x:c r="B43" t="str">
        <x:v>Café and casual dining</x:v>
      </x:c>
      <x:c r="C43" s="24" t="n">
        <x:v>8</x:v>
      </x:c>
      <x:c r="D43" t="str">
        <x:v>Trainee Café Attendant</x:v>
      </x:c>
      <x:c r="E43" t="str">
        <x:v>Introductory (time-limited)</x:v>
      </x:c>
      <x:c r="F43" t="str">
        <x:v>Restaurant (MA000119) or Fast Food (MA000003)</x:v>
      </x:c>
      <x:c r="G43" t="str">
        <x:v>Indicative only—classification must follow actual duties, coverage and qualifications.</x:v>
      </x:c>
      <x:c r="H43" t="str">
        <x:v>https://library.fairwork.gov.au/viewer/?krn=K600364</x:v>
      </x:c>
    </x:row>
    <x:row r="44" ht="20" customHeight="1">
      <x:c r="A44" t="str">
        <x:v>HC-0043</x:v>
      </x:c>
      <x:c r="B44" t="str">
        <x:v>Café and casual dining</x:v>
      </x:c>
      <x:c r="C44" s="24" t="n">
        <x:v>8</x:v>
      </x:c>
      <x:c r="D44" t="str">
        <x:v>Apprentice Barista / Trainee</x:v>
      </x:c>
      <x:c r="E44" t="str">
        <x:v>Training status—check instrument</x:v>
      </x:c>
      <x:c r="F44" t="str">
        <x:v>Restaurant (MA000119) or Fast Food (MA000003)</x:v>
      </x:c>
      <x:c r="G44" t="str">
        <x:v>Indicative only—classification must follow actual duties, coverage and qualifications.</x:v>
      </x:c>
      <x:c r="H44" t="str">
        <x:v>https://library.fairwork.gov.au/viewer/?krn=K600364</x:v>
      </x:c>
    </x:row>
    <x:row r="45" ht="20" customHeight="1">
      <x:c r="A45" t="str">
        <x:v>HC-0044</x:v>
      </x:c>
      <x:c r="B45" t="str">
        <x:v>Restaurant and fine-dining FOH</x:v>
      </x:c>
      <x:c r="C45" s="24" t="n">
        <x:v>3</x:v>
      </x:c>
      <x:c r="D45" t="str">
        <x:v>Restaurant General Manager</x:v>
      </x:c>
      <x:c r="E45" t="str">
        <x:v>Management—review</x:v>
      </x:c>
      <x:c r="F45" t="str">
        <x:v>Restaurant or Hospitality General / other</x:v>
      </x:c>
      <x:c r="G45" t="str">
        <x:v>No automatic pay level from job title; review award coverage and managerial exclusion.</x:v>
      </x:c>
      <x:c r="H45" t="str">
        <x:v>https://awards.fairwork.gov.au/MA000119.html</x:v>
      </x:c>
    </x:row>
    <x:row r="46" ht="20" customHeight="1">
      <x:c r="A46" t="str">
        <x:v>HC-0045</x:v>
      </x:c>
      <x:c r="B46" t="str">
        <x:v>Restaurant and fine-dining FOH</x:v>
      </x:c>
      <x:c r="C46" s="24" t="n">
        <x:v>4</x:v>
      </x:c>
      <x:c r="D46" t="str">
        <x:v>Restaurant Manager</x:v>
      </x:c>
      <x:c r="E46" t="str">
        <x:v>Management—review</x:v>
      </x:c>
      <x:c r="F46" t="str">
        <x:v>Restaurant or Hospitality General / other</x:v>
      </x:c>
      <x:c r="G46" t="str">
        <x:v>No automatic pay level from job title; review award coverage and managerial exclusion.</x:v>
      </x:c>
      <x:c r="H46" t="str">
        <x:v>https://awards.fairwork.gov.au/MA000119.html</x:v>
      </x:c>
    </x:row>
    <x:row r="47" ht="20" customHeight="1">
      <x:c r="A47" t="str">
        <x:v>HC-0046</x:v>
      </x:c>
      <x:c r="B47" t="str">
        <x:v>Restaurant and fine-dining FOH</x:v>
      </x:c>
      <x:c r="C47" s="24" t="n">
        <x:v>4</x:v>
      </x:c>
      <x:c r="D47" t="str">
        <x:v>Maître d'Hôtel / Maître d'</x:v>
      </x:c>
      <x:c r="E47" t="str">
        <x:v>L4–L5 or management—review</x:v>
      </x:c>
      <x:c r="F47" t="str">
        <x:v>Restaurant or Hospitality General / other</x:v>
      </x:c>
      <x:c r="G47" t="str">
        <x:v>No automatic pay level from job title; review award coverage and managerial exclusion.</x:v>
      </x:c>
      <x:c r="H47" t="str">
        <x:v>https://awards.fairwork.gov.au/MA000119.html</x:v>
      </x:c>
    </x:row>
    <x:row r="48" ht="20" customHeight="1">
      <x:c r="A48" t="str">
        <x:v>HC-0047</x:v>
      </x:c>
      <x:c r="B48" t="str">
        <x:v>Restaurant and fine-dining FOH</x:v>
      </x:c>
      <x:c r="C48" s="24" t="n">
        <x:v>4</x:v>
      </x:c>
      <x:c r="D48" t="str">
        <x:v>Assistant Restaurant Manager</x:v>
      </x:c>
      <x:c r="E48" t="str">
        <x:v>Management / L5—review</x:v>
      </x:c>
      <x:c r="F48" t="str">
        <x:v>Restaurant or Hospitality General / other</x:v>
      </x:c>
      <x:c r="G48" t="str">
        <x:v>No automatic pay level from job title; review award coverage and managerial exclusion.</x:v>
      </x:c>
      <x:c r="H48" t="str">
        <x:v>https://awards.fairwork.gov.au/MA000119.html</x:v>
      </x:c>
    </x:row>
    <x:row r="49" ht="20" customHeight="1">
      <x:c r="A49" t="str">
        <x:v>HC-0048</x:v>
      </x:c>
      <x:c r="B49" t="str">
        <x:v>Restaurant and fine-dining FOH</x:v>
      </x:c>
      <x:c r="C49" s="24" t="n">
        <x:v>5</x:v>
      </x:c>
      <x:c r="D49" t="str">
        <x:v>Dining Room Manager</x:v>
      </x:c>
      <x:c r="E49" t="str">
        <x:v>Management / L5—review</x:v>
      </x:c>
      <x:c r="F49" t="str">
        <x:v>Restaurant or Hospitality General / other</x:v>
      </x:c>
      <x:c r="G49" t="str">
        <x:v>No automatic pay level from job title; review award coverage and managerial exclusion.</x:v>
      </x:c>
      <x:c r="H49" t="str">
        <x:v>https://awards.fairwork.gov.au/MA000119.html</x:v>
      </x:c>
    </x:row>
    <x:row r="50" ht="20" customHeight="1">
      <x:c r="A50" t="str">
        <x:v>HC-0049</x:v>
      </x:c>
      <x:c r="B50" t="str">
        <x:v>Restaurant and fine-dining FOH</x:v>
      </x:c>
      <x:c r="C50" s="24" t="n">
        <x:v>5</x:v>
      </x:c>
      <x:c r="D50" t="str">
        <x:v>Head Sommelier</x:v>
      </x:c>
      <x:c r="E50" t="str">
        <x:v>Specialist / supervisor / manager—review</x:v>
      </x:c>
      <x:c r="F50" t="str">
        <x:v>Restaurant or Hospitality General / other</x:v>
      </x:c>
      <x:c r="G50" t="str">
        <x:v>No automatic pay level from job title; review award coverage and managerial exclusion.</x:v>
      </x:c>
      <x:c r="H50" t="str">
        <x:v>https://awards.fairwork.gov.au/MA000119.html</x:v>
      </x:c>
    </x:row>
    <x:row r="51" ht="20" customHeight="1">
      <x:c r="A51" t="str">
        <x:v>HC-0050</x:v>
      </x:c>
      <x:c r="B51" t="str">
        <x:v>Restaurant and fine-dining FOH</x:v>
      </x:c>
      <x:c r="C51" s="24" t="n">
        <x:v>5</x:v>
      </x:c>
      <x:c r="D51" t="str">
        <x:v>Head Waiter</x:v>
      </x:c>
      <x:c r="E51" t="str">
        <x:v>L5 if supervisor definition met</x:v>
      </x:c>
      <x:c r="F51" t="str">
        <x:v>Restaurant or Hospitality General / other</x:v>
      </x:c>
      <x:c r="G51" t="str">
        <x:v>Indicative only—classification must follow actual duties, coverage and qualifications.</x:v>
      </x:c>
      <x:c r="H51" t="str">
        <x:v>https://awards.fairwork.gov.au/MA000119.html</x:v>
      </x:c>
    </x:row>
    <x:row r="52" ht="20" customHeight="1">
      <x:c r="A52" t="str">
        <x:v>HC-0051</x:v>
      </x:c>
      <x:c r="B52" t="str">
        <x:v>Restaurant and fine-dining FOH</x:v>
      </x:c>
      <x:c r="C52" s="24" t="n">
        <x:v>5</x:v>
      </x:c>
      <x:c r="D52" t="str">
        <x:v>Floor Supervisor</x:v>
      </x:c>
      <x:c r="E52" t="str">
        <x:v>L5 if supervisor definition met</x:v>
      </x:c>
      <x:c r="F52" t="str">
        <x:v>Restaurant or Hospitality General / other</x:v>
      </x:c>
      <x:c r="G52" t="str">
        <x:v>Indicative only—classification must follow actual duties, coverage and qualifications.</x:v>
      </x:c>
      <x:c r="H52" t="str">
        <x:v>https://awards.fairwork.gov.au/MA000119.html</x:v>
      </x:c>
    </x:row>
    <x:row r="53" ht="20" customHeight="1">
      <x:c r="A53" t="str">
        <x:v>HC-0052</x:v>
      </x:c>
      <x:c r="B53" t="str">
        <x:v>Restaurant and fine-dining FOH</x:v>
      </x:c>
      <x:c r="C53" s="24" t="n">
        <x:v>5</x:v>
      </x:c>
      <x:c r="D53" t="str">
        <x:v>Restaurant Captain</x:v>
      </x:c>
      <x:c r="E53" t="str">
        <x:v>L3–L5 (duties-based)</x:v>
      </x:c>
      <x:c r="F53" t="str">
        <x:v>Restaurant or Hospitality General / other</x:v>
      </x:c>
      <x:c r="G53" t="str">
        <x:v>Indicative only—classification must follow actual duties, coverage and qualifications.</x:v>
      </x:c>
      <x:c r="H53" t="str">
        <x:v>https://awards.fairwork.gov.au/MA000119.html</x:v>
      </x:c>
    </x:row>
    <x:row r="54" ht="20" customHeight="1">
      <x:c r="A54" t="str">
        <x:v>HC-0053</x:v>
      </x:c>
      <x:c r="B54" t="str">
        <x:v>Restaurant and fine-dining FOH</x:v>
      </x:c>
      <x:c r="C54" s="24" t="n">
        <x:v>5</x:v>
      </x:c>
      <x:c r="D54" t="str">
        <x:v>Head Host / Reservations Supervisor</x:v>
      </x:c>
      <x:c r="E54" t="str">
        <x:v>L3–L5 (duties-based)</x:v>
      </x:c>
      <x:c r="F54" t="str">
        <x:v>Restaurant or Hospitality General / other</x:v>
      </x:c>
      <x:c r="G54" t="str">
        <x:v>Indicative only—classification must follow actual duties, coverage and qualifications.</x:v>
      </x:c>
      <x:c r="H54" t="str">
        <x:v>https://awards.fairwork.gov.au/MA000119.html</x:v>
      </x:c>
    </x:row>
    <x:row r="55" ht="20" customHeight="1">
      <x:c r="A55" t="str">
        <x:v>HC-0054</x:v>
      </x:c>
      <x:c r="B55" t="str">
        <x:v>Restaurant and fine-dining FOH</x:v>
      </x:c>
      <x:c r="C55" s="24" t="n">
        <x:v>6</x:v>
      </x:c>
      <x:c r="D55" t="str">
        <x:v>Sommelier</x:v>
      </x:c>
      <x:c r="E55" t="str">
        <x:v>L4 specialist (duties-based)</x:v>
      </x:c>
      <x:c r="F55" t="str">
        <x:v>Restaurant or Hospitality General / other</x:v>
      </x:c>
      <x:c r="G55" t="str">
        <x:v>Indicative only—classification must follow actual duties, coverage and qualifications.</x:v>
      </x:c>
      <x:c r="H55" t="str">
        <x:v>https://awards.fairwork.gov.au/MA000119.html</x:v>
      </x:c>
    </x:row>
    <x:row r="56" ht="20" customHeight="1">
      <x:c r="A56" t="str">
        <x:v>HC-0055</x:v>
      </x:c>
      <x:c r="B56" t="str">
        <x:v>Restaurant and fine-dining FOH</x:v>
      </x:c>
      <x:c r="C56" s="24" t="n">
        <x:v>6</x:v>
      </x:c>
      <x:c r="D56" t="str">
        <x:v>Wine Steward</x:v>
      </x:c>
      <x:c r="E56" t="str">
        <x:v>L3–L4 (duties-based)</x:v>
      </x:c>
      <x:c r="F56" t="str">
        <x:v>Restaurant or Hospitality General / other</x:v>
      </x:c>
      <x:c r="G56" t="str">
        <x:v>Indicative only—classification must follow actual duties, coverage and qualifications.</x:v>
      </x:c>
      <x:c r="H56" t="str">
        <x:v>https://awards.fairwork.gov.au/MA000119.html</x:v>
      </x:c>
    </x:row>
    <x:row r="57" ht="20" customHeight="1">
      <x:c r="A57" t="str">
        <x:v>HC-0056</x:v>
      </x:c>
      <x:c r="B57" t="str">
        <x:v>Restaurant and fine-dining FOH</x:v>
      </x:c>
      <x:c r="C57" s="24" t="n">
        <x:v>6</x:v>
      </x:c>
      <x:c r="D57" t="str">
        <x:v>Chef de Rang</x:v>
      </x:c>
      <x:c r="E57" t="str">
        <x:v>L4 specialist (duties-based)</x:v>
      </x:c>
      <x:c r="F57" t="str">
        <x:v>Restaurant or Hospitality General / other</x:v>
      </x:c>
      <x:c r="G57" t="str">
        <x:v>Indicative only—classification must follow actual duties, coverage and qualifications.</x:v>
      </x:c>
      <x:c r="H57" t="str">
        <x:v>https://awards.fairwork.gov.au/MA000119.html</x:v>
      </x:c>
    </x:row>
    <x:row r="58" ht="20" customHeight="1">
      <x:c r="A58" t="str">
        <x:v>HC-0057</x:v>
      </x:c>
      <x:c r="B58" t="str">
        <x:v>Restaurant and fine-dining FOH</x:v>
      </x:c>
      <x:c r="C58" s="24" t="n">
        <x:v>6</x:v>
      </x:c>
      <x:c r="D58" t="str">
        <x:v>Senior Waiter / Section Waiter</x:v>
      </x:c>
      <x:c r="E58" t="str">
        <x:v>L3–L4 (duties-based)</x:v>
      </x:c>
      <x:c r="F58" t="str">
        <x:v>Restaurant or Hospitality General / other</x:v>
      </x:c>
      <x:c r="G58" t="str">
        <x:v>Indicative only—classification must follow actual duties, coverage and qualifications.</x:v>
      </x:c>
      <x:c r="H58" t="str">
        <x:v>https://awards.fairwork.gov.au/MA000119.html</x:v>
      </x:c>
    </x:row>
    <x:row r="59" ht="20" customHeight="1">
      <x:c r="A59" t="str">
        <x:v>HC-0058</x:v>
      </x:c>
      <x:c r="B59" t="str">
        <x:v>Restaurant and fine-dining FOH</x:v>
      </x:c>
      <x:c r="C59" s="24" t="n">
        <x:v>6</x:v>
      </x:c>
      <x:c r="D59" t="str">
        <x:v>Guest Relations / VIP Host</x:v>
      </x:c>
      <x:c r="E59" t="str">
        <x:v>L2–L4 (duties-based)</x:v>
      </x:c>
      <x:c r="F59" t="str">
        <x:v>Restaurant or Hospitality General / other</x:v>
      </x:c>
      <x:c r="G59" t="str">
        <x:v>Indicative only—classification must follow actual duties, coverage and qualifications.</x:v>
      </x:c>
      <x:c r="H59" t="str">
        <x:v>https://awards.fairwork.gov.au/MA000119.html</x:v>
      </x:c>
    </x:row>
    <x:row r="60" ht="20" customHeight="1">
      <x:c r="A60" t="str">
        <x:v>HC-0059</x:v>
      </x:c>
      <x:c r="B60" t="str">
        <x:v>Restaurant and fine-dining FOH</x:v>
      </x:c>
      <x:c r="C60" s="24" t="n">
        <x:v>6</x:v>
      </x:c>
      <x:c r="D60" t="str">
        <x:v>Reservations Agent</x:v>
      </x:c>
      <x:c r="E60" t="str">
        <x:v>L2–L3 (duties-based)</x:v>
      </x:c>
      <x:c r="F60" t="str">
        <x:v>Restaurant or Hospitality General / other</x:v>
      </x:c>
      <x:c r="G60" t="str">
        <x:v>Indicative only—classification must follow actual duties, coverage and qualifications.</x:v>
      </x:c>
      <x:c r="H60" t="str">
        <x:v>https://awards.fairwork.gov.au/MA000119.html</x:v>
      </x:c>
    </x:row>
    <x:row r="61" ht="20" customHeight="1">
      <x:c r="A61" t="str">
        <x:v>HC-0060</x:v>
      </x:c>
      <x:c r="B61" t="str">
        <x:v>Restaurant and fine-dining FOH</x:v>
      </x:c>
      <x:c r="C61" s="24" t="n">
        <x:v>7</x:v>
      </x:c>
      <x:c r="D61" t="str">
        <x:v>Waiter / Waitress</x:v>
      </x:c>
      <x:c r="E61" t="str">
        <x:v>L2–L3 (duties-based)</x:v>
      </x:c>
      <x:c r="F61" t="str">
        <x:v>Restaurant or Hospitality General / other</x:v>
      </x:c>
      <x:c r="G61" t="str">
        <x:v>Indicative only—classification must follow actual duties, coverage and qualifications.</x:v>
      </x:c>
      <x:c r="H61" t="str">
        <x:v>https://awards.fairwork.gov.au/MA000119.html</x:v>
      </x:c>
    </x:row>
    <x:row r="62" ht="20" customHeight="1">
      <x:c r="A62" t="str">
        <x:v>HC-0061</x:v>
      </x:c>
      <x:c r="B62" t="str">
        <x:v>Restaurant and fine-dining FOH</x:v>
      </x:c>
      <x:c r="C62" s="24" t="n">
        <x:v>7</x:v>
      </x:c>
      <x:c r="D62" t="str">
        <x:v>Food and Beverage Attendant</x:v>
      </x:c>
      <x:c r="E62" t="str">
        <x:v>L2–L3</x:v>
      </x:c>
      <x:c r="F62" t="str">
        <x:v>Restaurant or Hospitality General / other</x:v>
      </x:c>
      <x:c r="G62" t="str">
        <x:v>Indicative only—classification must follow actual duties, coverage and qualifications.</x:v>
      </x:c>
      <x:c r="H62" t="str">
        <x:v>https://awards.fairwork.gov.au/MA000119.html</x:v>
      </x:c>
    </x:row>
    <x:row r="63" ht="20" customHeight="1">
      <x:c r="A63" t="str">
        <x:v>HC-0062</x:v>
      </x:c>
      <x:c r="B63" t="str">
        <x:v>Restaurant and fine-dining FOH</x:v>
      </x:c>
      <x:c r="C63" s="24" t="n">
        <x:v>7</x:v>
      </x:c>
      <x:c r="D63" t="str">
        <x:v>Commis de Rang</x:v>
      </x:c>
      <x:c r="E63" t="str">
        <x:v>L1–L2 (duties-based)</x:v>
      </x:c>
      <x:c r="F63" t="str">
        <x:v>Restaurant or Hospitality General / other</x:v>
      </x:c>
      <x:c r="G63" t="str">
        <x:v>Indicative only—classification must follow actual duties, coverage and qualifications.</x:v>
      </x:c>
      <x:c r="H63" t="str">
        <x:v>https://awards.fairwork.gov.au/MA000119.html</x:v>
      </x:c>
    </x:row>
    <x:row r="64" ht="20" customHeight="1">
      <x:c r="A64" t="str">
        <x:v>HC-0063</x:v>
      </x:c>
      <x:c r="B64" t="str">
        <x:v>Restaurant and fine-dining FOH</x:v>
      </x:c>
      <x:c r="C64" s="24" t="n">
        <x:v>7</x:v>
      </x:c>
      <x:c r="D64" t="str">
        <x:v>Host / Hostess</x:v>
      </x:c>
      <x:c r="E64" t="str">
        <x:v>L2–L3</x:v>
      </x:c>
      <x:c r="F64" t="str">
        <x:v>Restaurant or Hospitality General / other</x:v>
      </x:c>
      <x:c r="G64" t="str">
        <x:v>Indicative only—classification must follow actual duties, coverage and qualifications.</x:v>
      </x:c>
      <x:c r="H64" t="str">
        <x:v>https://awards.fairwork.gov.au/MA000119.html</x:v>
      </x:c>
    </x:row>
    <x:row r="65" ht="20" customHeight="1">
      <x:c r="A65" t="str">
        <x:v>HC-0064</x:v>
      </x:c>
      <x:c r="B65" t="str">
        <x:v>Restaurant and fine-dining FOH</x:v>
      </x:c>
      <x:c r="C65" s="24" t="n">
        <x:v>7</x:v>
      </x:c>
      <x:c r="D65" t="str">
        <x:v>Cashier</x:v>
      </x:c>
      <x:c r="E65" t="str">
        <x:v>L1–L2</x:v>
      </x:c>
      <x:c r="F65" t="str">
        <x:v>Restaurant or Hospitality General / other</x:v>
      </x:c>
      <x:c r="G65" t="str">
        <x:v>Indicative only—classification must follow actual duties, coverage and qualifications.</x:v>
      </x:c>
      <x:c r="H65" t="str">
        <x:v>https://awards.fairwork.gov.au/MA000119.html</x:v>
      </x:c>
    </x:row>
    <x:row r="66" ht="20" customHeight="1">
      <x:c r="A66" t="str">
        <x:v>HC-0065</x:v>
      </x:c>
      <x:c r="B66" t="str">
        <x:v>Restaurant and fine-dining FOH</x:v>
      </x:c>
      <x:c r="C66" s="24" t="n">
        <x:v>8</x:v>
      </x:c>
      <x:c r="D66" t="str">
        <x:v>Food Runner</x:v>
      </x:c>
      <x:c r="E66" t="str">
        <x:v>L1–L2</x:v>
      </x:c>
      <x:c r="F66" t="str">
        <x:v>Restaurant or Hospitality General / other</x:v>
      </x:c>
      <x:c r="G66" t="str">
        <x:v>Indicative only—classification must follow actual duties, coverage and qualifications.</x:v>
      </x:c>
      <x:c r="H66" t="str">
        <x:v>https://awards.fairwork.gov.au/MA000119.html</x:v>
      </x:c>
    </x:row>
    <x:row r="67" ht="20" customHeight="1">
      <x:c r="A67" t="str">
        <x:v>HC-0066</x:v>
      </x:c>
      <x:c r="B67" t="str">
        <x:v>Restaurant and fine-dining FOH</x:v>
      </x:c>
      <x:c r="C67" s="24" t="n">
        <x:v>8</x:v>
      </x:c>
      <x:c r="D67" t="str">
        <x:v>Busser / Clearing Attendant</x:v>
      </x:c>
      <x:c r="E67" t="str">
        <x:v>L1</x:v>
      </x:c>
      <x:c r="F67" t="str">
        <x:v>Restaurant or Hospitality General / other</x:v>
      </x:c>
      <x:c r="G67" t="str">
        <x:v>Indicative only—classification must follow actual duties, coverage and qualifications.</x:v>
      </x:c>
      <x:c r="H67" t="str">
        <x:v>https://awards.fairwork.gov.au/MA000119.html</x:v>
      </x:c>
    </x:row>
    <x:row r="68" ht="20" customHeight="1">
      <x:c r="A68" t="str">
        <x:v>HC-0067</x:v>
      </x:c>
      <x:c r="B68" t="str">
        <x:v>Restaurant and fine-dining FOH</x:v>
      </x:c>
      <x:c r="C68" s="24" t="n">
        <x:v>8</x:v>
      </x:c>
      <x:c r="D68" t="str">
        <x:v>Restaurant Trainee</x:v>
      </x:c>
      <x:c r="E68" t="str">
        <x:v>Introductory (time-limited)</x:v>
      </x:c>
      <x:c r="F68" t="str">
        <x:v>Restaurant or Hospitality General / other</x:v>
      </x:c>
      <x:c r="G68" t="str">
        <x:v>Indicative only—classification must follow actual duties, coverage and qualifications.</x:v>
      </x:c>
      <x:c r="H68" t="str">
        <x:v>https://awards.fairwork.gov.au/MA000119.html</x:v>
      </x:c>
    </x:row>
    <x:row r="69" ht="20" customHeight="1">
      <x:c r="A69" t="str">
        <x:v>HC-0068</x:v>
      </x:c>
      <x:c r="B69" t="str">
        <x:v>Bars pubs and beverage</x:v>
      </x:c>
      <x:c r="C69" s="24" t="n">
        <x:v>3</x:v>
      </x:c>
      <x:c r="D69" t="str">
        <x:v>Beverage Director</x:v>
      </x:c>
      <x:c r="E69" t="str">
        <x:v>Management—review</x:v>
      </x:c>
      <x:c r="F69" t="str">
        <x:v>Restaurant or Hospitality General / other</x:v>
      </x:c>
      <x:c r="G69" t="str">
        <x:v>No automatic pay level from job title; review award coverage and managerial exclusion.</x:v>
      </x:c>
      <x:c r="H69" t="str">
        <x:v>https://awards.fairwork.gov.au/MA000119.html</x:v>
      </x:c>
    </x:row>
    <x:row r="70" ht="20" customHeight="1">
      <x:c r="A70" t="str">
        <x:v>HC-0069</x:v>
      </x:c>
      <x:c r="B70" t="str">
        <x:v>Bars pubs and beverage</x:v>
      </x:c>
      <x:c r="C70" s="24" t="n">
        <x:v>3</x:v>
      </x:c>
      <x:c r="D70" t="str">
        <x:v>Bar / Pub General Manager</x:v>
      </x:c>
      <x:c r="E70" t="str">
        <x:v>Management—review</x:v>
      </x:c>
      <x:c r="F70" t="str">
        <x:v>Restaurant or Hospitality General / other</x:v>
      </x:c>
      <x:c r="G70" t="str">
        <x:v>No automatic pay level from job title; review award coverage and managerial exclusion.</x:v>
      </x:c>
      <x:c r="H70" t="str">
        <x:v>https://awards.fairwork.gov.au/MA000119.html</x:v>
      </x:c>
    </x:row>
    <x:row r="71" ht="20" customHeight="1">
      <x:c r="A71" t="str">
        <x:v>HC-0070</x:v>
      </x:c>
      <x:c r="B71" t="str">
        <x:v>Bars pubs and beverage</x:v>
      </x:c>
      <x:c r="C71" s="24" t="n">
        <x:v>4</x:v>
      </x:c>
      <x:c r="D71" t="str">
        <x:v>Bar Manager</x:v>
      </x:c>
      <x:c r="E71" t="str">
        <x:v>Management—review</x:v>
      </x:c>
      <x:c r="F71" t="str">
        <x:v>Restaurant or Hospitality General / other</x:v>
      </x:c>
      <x:c r="G71" t="str">
        <x:v>No automatic pay level from job title; review award coverage and managerial exclusion.</x:v>
      </x:c>
      <x:c r="H71" t="str">
        <x:v>https://awards.fairwork.gov.au/MA000119.html</x:v>
      </x:c>
    </x:row>
    <x:row r="72" ht="20" customHeight="1">
      <x:c r="A72" t="str">
        <x:v>HC-0071</x:v>
      </x:c>
      <x:c r="B72" t="str">
        <x:v>Bars pubs and beverage</x:v>
      </x:c>
      <x:c r="C72" s="24" t="n">
        <x:v>4</x:v>
      </x:c>
      <x:c r="D72" t="str">
        <x:v>Beverage Manager</x:v>
      </x:c>
      <x:c r="E72" t="str">
        <x:v>Management—review</x:v>
      </x:c>
      <x:c r="F72" t="str">
        <x:v>Restaurant or Hospitality General / other</x:v>
      </x:c>
      <x:c r="G72" t="str">
        <x:v>No automatic pay level from job title; review award coverage and managerial exclusion.</x:v>
      </x:c>
      <x:c r="H72" t="str">
        <x:v>https://awards.fairwork.gov.au/MA000119.html</x:v>
      </x:c>
    </x:row>
    <x:row r="73" ht="20" customHeight="1">
      <x:c r="A73" t="str">
        <x:v>HC-0072</x:v>
      </x:c>
      <x:c r="B73" t="str">
        <x:v>Bars pubs and beverage</x:v>
      </x:c>
      <x:c r="C73" s="24" t="n">
        <x:v>4</x:v>
      </x:c>
      <x:c r="D73" t="str">
        <x:v>Assistant Bar Manager</x:v>
      </x:c>
      <x:c r="E73" t="str">
        <x:v>Management / L5—review</x:v>
      </x:c>
      <x:c r="F73" t="str">
        <x:v>Restaurant or Hospitality General / other</x:v>
      </x:c>
      <x:c r="G73" t="str">
        <x:v>No automatic pay level from job title; review award coverage and managerial exclusion.</x:v>
      </x:c>
      <x:c r="H73" t="str">
        <x:v>https://awards.fairwork.gov.au/MA000119.html</x:v>
      </x:c>
    </x:row>
    <x:row r="74" ht="20" customHeight="1">
      <x:c r="A74" t="str">
        <x:v>HC-0073</x:v>
      </x:c>
      <x:c r="B74" t="str">
        <x:v>Bars pubs and beverage</x:v>
      </x:c>
      <x:c r="C74" s="24" t="n">
        <x:v>5</x:v>
      </x:c>
      <x:c r="D74" t="str">
        <x:v>Bar Supervisor</x:v>
      </x:c>
      <x:c r="E74" t="str">
        <x:v>L5 if supervisor definition met</x:v>
      </x:c>
      <x:c r="F74" t="str">
        <x:v>Restaurant or Hospitality General / other</x:v>
      </x:c>
      <x:c r="G74" t="str">
        <x:v>Indicative only—classification must follow actual duties, coverage and qualifications.</x:v>
      </x:c>
      <x:c r="H74" t="str">
        <x:v>https://awards.fairwork.gov.au/MA000119.html</x:v>
      </x:c>
    </x:row>
    <x:row r="75" ht="20" customHeight="1">
      <x:c r="A75" t="str">
        <x:v>HC-0074</x:v>
      </x:c>
      <x:c r="B75" t="str">
        <x:v>Bars pubs and beverage</x:v>
      </x:c>
      <x:c r="C75" s="24" t="n">
        <x:v>5</x:v>
      </x:c>
      <x:c r="D75" t="str">
        <x:v>Head Bartender</x:v>
      </x:c>
      <x:c r="E75" t="str">
        <x:v>L3–L5 (duties-based)</x:v>
      </x:c>
      <x:c r="F75" t="str">
        <x:v>Restaurant or Hospitality General / other</x:v>
      </x:c>
      <x:c r="G75" t="str">
        <x:v>Indicative only—classification must follow actual duties, coverage and qualifications.</x:v>
      </x:c>
      <x:c r="H75" t="str">
        <x:v>https://awards.fairwork.gov.au/MA000119.html</x:v>
      </x:c>
    </x:row>
    <x:row r="76" ht="20" customHeight="1">
      <x:c r="A76" t="str">
        <x:v>HC-0075</x:v>
      </x:c>
      <x:c r="B76" t="str">
        <x:v>Bars pubs and beverage</x:v>
      </x:c>
      <x:c r="C76" s="24" t="n">
        <x:v>5</x:v>
      </x:c>
      <x:c r="D76" t="str">
        <x:v>Lead Mixologist</x:v>
      </x:c>
      <x:c r="E76" t="str">
        <x:v>L3–L5 (duties-based)</x:v>
      </x:c>
      <x:c r="F76" t="str">
        <x:v>Restaurant or Hospitality General / other</x:v>
      </x:c>
      <x:c r="G76" t="str">
        <x:v>Indicative only—classification must follow actual duties, coverage and qualifications.</x:v>
      </x:c>
      <x:c r="H76" t="str">
        <x:v>https://awards.fairwork.gov.au/MA000119.html</x:v>
      </x:c>
    </x:row>
    <x:row r="77" ht="20" customHeight="1">
      <x:c r="A77" t="str">
        <x:v>HC-0076</x:v>
      </x:c>
      <x:c r="B77" t="str">
        <x:v>Bars pubs and beverage</x:v>
      </x:c>
      <x:c r="C77" s="24" t="n">
        <x:v>5</x:v>
      </x:c>
      <x:c r="D77" t="str">
        <x:v>Cellar Manager</x:v>
      </x:c>
      <x:c r="E77" t="str">
        <x:v>L3–L5 (duties-based)</x:v>
      </x:c>
      <x:c r="F77" t="str">
        <x:v>Restaurant or Hospitality General / other</x:v>
      </x:c>
      <x:c r="G77" t="str">
        <x:v>No automatic pay level from job title; review award coverage and managerial exclusion.</x:v>
      </x:c>
      <x:c r="H77" t="str">
        <x:v>https://awards.fairwork.gov.au/MA000119.html</x:v>
      </x:c>
    </x:row>
    <x:row r="78" ht="20" customHeight="1">
      <x:c r="A78" t="str">
        <x:v>HC-0077</x:v>
      </x:c>
      <x:c r="B78" t="str">
        <x:v>Bars pubs and beverage</x:v>
      </x:c>
      <x:c r="C78" s="24" t="n">
        <x:v>6</x:v>
      </x:c>
      <x:c r="D78" t="str">
        <x:v>Senior Bartender</x:v>
      </x:c>
      <x:c r="E78" t="str">
        <x:v>L3 (duties-based)</x:v>
      </x:c>
      <x:c r="F78" t="str">
        <x:v>Restaurant or Hospitality General / other</x:v>
      </x:c>
      <x:c r="G78" t="str">
        <x:v>Indicative only—classification must follow actual duties, coverage and qualifications.</x:v>
      </x:c>
      <x:c r="H78" t="str">
        <x:v>https://awards.fairwork.gov.au/MA000119.html</x:v>
      </x:c>
    </x:row>
    <x:row r="79" ht="20" customHeight="1">
      <x:c r="A79" t="str">
        <x:v>HC-0078</x:v>
      </x:c>
      <x:c r="B79" t="str">
        <x:v>Bars pubs and beverage</x:v>
      </x:c>
      <x:c r="C79" s="24" t="n">
        <x:v>6</x:v>
      </x:c>
      <x:c r="D79" t="str">
        <x:v>Cocktail Specialist / Mixologist</x:v>
      </x:c>
      <x:c r="E79" t="str">
        <x:v>L3–L4 (duties-based)</x:v>
      </x:c>
      <x:c r="F79" t="str">
        <x:v>Restaurant or Hospitality General / other</x:v>
      </x:c>
      <x:c r="G79" t="str">
        <x:v>Indicative only—classification must follow actual duties, coverage and qualifications.</x:v>
      </x:c>
      <x:c r="H79" t="str">
        <x:v>https://awards.fairwork.gov.au/MA000119.html</x:v>
      </x:c>
    </x:row>
    <x:row r="80" ht="20" customHeight="1">
      <x:c r="A80" t="str">
        <x:v>HC-0079</x:v>
      </x:c>
      <x:c r="B80" t="str">
        <x:v>Bars pubs and beverage</x:v>
      </x:c>
      <x:c r="C80" s="24" t="n">
        <x:v>6</x:v>
      </x:c>
      <x:c r="D80" t="str">
        <x:v>Beer Specialist / Cicerone</x:v>
      </x:c>
      <x:c r="E80" t="str">
        <x:v>L3–L4 (duties-based)</x:v>
      </x:c>
      <x:c r="F80" t="str">
        <x:v>Restaurant or Hospitality General / other</x:v>
      </x:c>
      <x:c r="G80" t="str">
        <x:v>Indicative only—classification must follow actual duties, coverage and qualifications.</x:v>
      </x:c>
      <x:c r="H80" t="str">
        <x:v>https://awards.fairwork.gov.au/MA000119.html</x:v>
      </x:c>
    </x:row>
    <x:row r="81" ht="20" customHeight="1">
      <x:c r="A81" t="str">
        <x:v>HC-0080</x:v>
      </x:c>
      <x:c r="B81" t="str">
        <x:v>Bars pubs and beverage</x:v>
      </x:c>
      <x:c r="C81" s="24" t="n">
        <x:v>6</x:v>
      </x:c>
      <x:c r="D81" t="str">
        <x:v>Wine Bar Attendant</x:v>
      </x:c>
      <x:c r="E81" t="str">
        <x:v>L2–L3</x:v>
      </x:c>
      <x:c r="F81" t="str">
        <x:v>Restaurant or Hospitality General / other</x:v>
      </x:c>
      <x:c r="G81" t="str">
        <x:v>Indicative only—classification must follow actual duties, coverage and qualifications.</x:v>
      </x:c>
      <x:c r="H81" t="str">
        <x:v>https://awards.fairwork.gov.au/MA000119.html</x:v>
      </x:c>
    </x:row>
    <x:row r="82" ht="20" customHeight="1">
      <x:c r="A82" t="str">
        <x:v>HC-0081</x:v>
      </x:c>
      <x:c r="B82" t="str">
        <x:v>Bars pubs and beverage</x:v>
      </x:c>
      <x:c r="C82" s="24" t="n">
        <x:v>6</x:v>
      </x:c>
      <x:c r="D82" t="str">
        <x:v>Cellar Controller</x:v>
      </x:c>
      <x:c r="E82" t="str">
        <x:v>L3 (duties-based)</x:v>
      </x:c>
      <x:c r="F82" t="str">
        <x:v>Restaurant or Hospitality General / other</x:v>
      </x:c>
      <x:c r="G82" t="str">
        <x:v>Indicative only—classification must follow actual duties, coverage and qualifications.</x:v>
      </x:c>
      <x:c r="H82" t="str">
        <x:v>https://awards.fairwork.gov.au/MA000119.html</x:v>
      </x:c>
    </x:row>
    <x:row r="83" ht="20" customHeight="1">
      <x:c r="A83" t="str">
        <x:v>HC-0082</x:v>
      </x:c>
      <x:c r="B83" t="str">
        <x:v>Bars pubs and beverage</x:v>
      </x:c>
      <x:c r="C83" s="24" t="n">
        <x:v>7</x:v>
      </x:c>
      <x:c r="D83" t="str">
        <x:v>Bartender</x:v>
      </x:c>
      <x:c r="E83" t="str">
        <x:v>L2–L3 (duties-based)</x:v>
      </x:c>
      <x:c r="F83" t="str">
        <x:v>Restaurant or Hospitality General / other</x:v>
      </x:c>
      <x:c r="G83" t="str">
        <x:v>Indicative only—classification must follow actual duties, coverage and qualifications.</x:v>
      </x:c>
      <x:c r="H83" t="str">
        <x:v>https://awards.fairwork.gov.au/MA000119.html</x:v>
      </x:c>
    </x:row>
    <x:row r="84" ht="20" customHeight="1">
      <x:c r="A84" t="str">
        <x:v>HC-0083</x:v>
      </x:c>
      <x:c r="B84" t="str">
        <x:v>Bars pubs and beverage</x:v>
      </x:c>
      <x:c r="C84" s="24" t="n">
        <x:v>7</x:v>
      </x:c>
      <x:c r="D84" t="str">
        <x:v>Bar Attendant</x:v>
      </x:c>
      <x:c r="E84" t="str">
        <x:v>L2–L3</x:v>
      </x:c>
      <x:c r="F84" t="str">
        <x:v>Restaurant or Hospitality General / other</x:v>
      </x:c>
      <x:c r="G84" t="str">
        <x:v>Indicative only—classification must follow actual duties, coverage and qualifications.</x:v>
      </x:c>
      <x:c r="H84" t="str">
        <x:v>https://awards.fairwork.gov.au/MA000119.html</x:v>
      </x:c>
    </x:row>
    <x:row r="85" ht="20" customHeight="1">
      <x:c r="A85" t="str">
        <x:v>HC-0084</x:v>
      </x:c>
      <x:c r="B85" t="str">
        <x:v>Bars pubs and beverage</x:v>
      </x:c>
      <x:c r="C85" s="24" t="n">
        <x:v>7</x:v>
      </x:c>
      <x:c r="D85" t="str">
        <x:v>Bottle Shop Attendant</x:v>
      </x:c>
      <x:c r="E85" t="str">
        <x:v>L2–L3 (coverage review)</x:v>
      </x:c>
      <x:c r="F85" t="str">
        <x:v>Restaurant or Hospitality General / other</x:v>
      </x:c>
      <x:c r="G85" t="str">
        <x:v>No automatic pay level from job title; review award coverage and managerial exclusion.</x:v>
      </x:c>
      <x:c r="H85" t="str">
        <x:v>https://awards.fairwork.gov.au/MA000119.html</x:v>
      </x:c>
    </x:row>
    <x:row r="86" ht="20" customHeight="1">
      <x:c r="A86" t="str">
        <x:v>HC-0085</x:v>
      </x:c>
      <x:c r="B86" t="str">
        <x:v>Bars pubs and beverage</x:v>
      </x:c>
      <x:c r="C86" s="24" t="n">
        <x:v>7</x:v>
      </x:c>
      <x:c r="D86" t="str">
        <x:v>Cellar Hand</x:v>
      </x:c>
      <x:c r="E86" t="str">
        <x:v>L2–L3</x:v>
      </x:c>
      <x:c r="F86" t="str">
        <x:v>Restaurant or Hospitality General / other</x:v>
      </x:c>
      <x:c r="G86" t="str">
        <x:v>Indicative only—classification must follow actual duties, coverage and qualifications.</x:v>
      </x:c>
      <x:c r="H86" t="str">
        <x:v>https://awards.fairwork.gov.au/MA000119.html</x:v>
      </x:c>
    </x:row>
    <x:row r="87" ht="20" customHeight="1">
      <x:c r="A87" t="str">
        <x:v>HC-0086</x:v>
      </x:c>
      <x:c r="B87" t="str">
        <x:v>Bars pubs and beverage</x:v>
      </x:c>
      <x:c r="C87" s="24" t="n">
        <x:v>8</x:v>
      </x:c>
      <x:c r="D87" t="str">
        <x:v>Barback</x:v>
      </x:c>
      <x:c r="E87" t="str">
        <x:v>L1–L2</x:v>
      </x:c>
      <x:c r="F87" t="str">
        <x:v>Restaurant or Hospitality General / other</x:v>
      </x:c>
      <x:c r="G87" t="str">
        <x:v>Indicative only—classification must follow actual duties, coverage and qualifications.</x:v>
      </x:c>
      <x:c r="H87" t="str">
        <x:v>https://awards.fairwork.gov.au/MA000119.html</x:v>
      </x:c>
    </x:row>
    <x:row r="88" ht="20" customHeight="1">
      <x:c r="A88" t="str">
        <x:v>HC-0087</x:v>
      </x:c>
      <x:c r="B88" t="str">
        <x:v>Bars pubs and beverage</x:v>
      </x:c>
      <x:c r="C88" s="24" t="n">
        <x:v>8</x:v>
      </x:c>
      <x:c r="D88" t="str">
        <x:v>Glassy / Glass Collector</x:v>
      </x:c>
      <x:c r="E88" t="str">
        <x:v>L1</x:v>
      </x:c>
      <x:c r="F88" t="str">
        <x:v>Restaurant or Hospitality General / other</x:v>
      </x:c>
      <x:c r="G88" t="str">
        <x:v>Indicative only—classification must follow actual duties, coverage and qualifications.</x:v>
      </x:c>
      <x:c r="H88" t="str">
        <x:v>https://awards.fairwork.gov.au/MA000119.html</x:v>
      </x:c>
    </x:row>
    <x:row r="89" ht="20" customHeight="1">
      <x:c r="A89" t="str">
        <x:v>HC-0088</x:v>
      </x:c>
      <x:c r="B89" t="str">
        <x:v>Bars pubs and beverage</x:v>
      </x:c>
      <x:c r="C89" s="24" t="n">
        <x:v>8</x:v>
      </x:c>
      <x:c r="D89" t="str">
        <x:v>Keg and Stock Runner</x:v>
      </x:c>
      <x:c r="E89" t="str">
        <x:v>L1–L2</x:v>
      </x:c>
      <x:c r="F89" t="str">
        <x:v>Restaurant or Hospitality General / other</x:v>
      </x:c>
      <x:c r="G89" t="str">
        <x:v>Indicative only—classification must follow actual duties, coverage and qualifications.</x:v>
      </x:c>
      <x:c r="H89" t="str">
        <x:v>https://awards.fairwork.gov.au/MA000119.html</x:v>
      </x:c>
    </x:row>
    <x:row r="90" ht="20" customHeight="1">
      <x:c r="A90" t="str">
        <x:v>HC-0089</x:v>
      </x:c>
      <x:c r="B90" t="str">
        <x:v>Bars pubs and beverage</x:v>
      </x:c>
      <x:c r="C90" s="24" t="n">
        <x:v>8</x:v>
      </x:c>
      <x:c r="D90" t="str">
        <x:v>Trainee Bar Attendant</x:v>
      </x:c>
      <x:c r="E90" t="str">
        <x:v>Introductory (time-limited)</x:v>
      </x:c>
      <x:c r="F90" t="str">
        <x:v>Restaurant or Hospitality General / other</x:v>
      </x:c>
      <x:c r="G90" t="str">
        <x:v>Indicative only—classification must follow actual duties, coverage and qualifications.</x:v>
      </x:c>
      <x:c r="H90" t="str">
        <x:v>https://awards.fairwork.gov.au/MA000119.html</x:v>
      </x:c>
    </x:row>
    <x:row r="91" ht="20" customHeight="1">
      <x:c r="A91" t="str">
        <x:v>HC-0090</x:v>
      </x:c>
      <x:c r="B91" t="str">
        <x:v>Kitchen and culinary</x:v>
      </x:c>
      <x:c r="C91" s="24" t="n">
        <x:v>2</x:v>
      </x:c>
      <x:c r="D91" t="str">
        <x:v>Group Executive Chef</x:v>
      </x:c>
      <x:c r="E91" t="str">
        <x:v>Senior management—review</x:v>
      </x:c>
      <x:c r="F91" t="str">
        <x:v>Restaurant or Hospitality General / other</x:v>
      </x:c>
      <x:c r="G91" t="str">
        <x:v>No automatic pay level from job title; review award coverage and managerial exclusion.</x:v>
      </x:c>
      <x:c r="H91" t="str">
        <x:v>https://awards.fairwork.gov.au/MA000119.html</x:v>
      </x:c>
    </x:row>
    <x:row r="92" ht="20" customHeight="1">
      <x:c r="A92" t="str">
        <x:v>HC-0091</x:v>
      </x:c>
      <x:c r="B92" t="str">
        <x:v>Kitchen and culinary</x:v>
      </x:c>
      <x:c r="C92" s="24" t="n">
        <x:v>3</x:v>
      </x:c>
      <x:c r="D92" t="str">
        <x:v>Executive Chef</x:v>
      </x:c>
      <x:c r="E92" t="str">
        <x:v>Management—review</x:v>
      </x:c>
      <x:c r="F92" t="str">
        <x:v>Restaurant or Hospitality General / other</x:v>
      </x:c>
      <x:c r="G92" t="str">
        <x:v>No automatic pay level from job title; review award coverage and managerial exclusion.</x:v>
      </x:c>
      <x:c r="H92" t="str">
        <x:v>https://awards.fairwork.gov.au/MA000119.html</x:v>
      </x:c>
    </x:row>
    <x:row r="93" ht="20" customHeight="1">
      <x:c r="A93" t="str">
        <x:v>HC-0092</x:v>
      </x:c>
      <x:c r="B93" t="str">
        <x:v>Kitchen and culinary</x:v>
      </x:c>
      <x:c r="C93" s="24" t="n">
        <x:v>3</x:v>
      </x:c>
      <x:c r="D93" t="str">
        <x:v>Chef de Cuisine / Head Chef</x:v>
      </x:c>
      <x:c r="E93" t="str">
        <x:v>L6 or management—review</x:v>
      </x:c>
      <x:c r="F93" t="str">
        <x:v>Restaurant or Hospitality General / other</x:v>
      </x:c>
      <x:c r="G93" t="str">
        <x:v>No automatic pay level from job title; review award coverage and managerial exclusion.</x:v>
      </x:c>
      <x:c r="H93" t="str">
        <x:v>https://awards.fairwork.gov.au/MA000119.html</x:v>
      </x:c>
    </x:row>
    <x:row r="94" ht="20" customHeight="1">
      <x:c r="A94" t="str">
        <x:v>HC-0093</x:v>
      </x:c>
      <x:c r="B94" t="str">
        <x:v>Kitchen and culinary</x:v>
      </x:c>
      <x:c r="C94" s="24" t="n">
        <x:v>4</x:v>
      </x:c>
      <x:c r="D94" t="str">
        <x:v>Executive Sous Chef</x:v>
      </x:c>
      <x:c r="E94" t="str">
        <x:v>L6 or management—review</x:v>
      </x:c>
      <x:c r="F94" t="str">
        <x:v>Restaurant or Hospitality General / other</x:v>
      </x:c>
      <x:c r="G94" t="str">
        <x:v>No automatic pay level from job title; review award coverage and managerial exclusion.</x:v>
      </x:c>
      <x:c r="H94" t="str">
        <x:v>https://awards.fairwork.gov.au/MA000119.html</x:v>
      </x:c>
    </x:row>
    <x:row r="95" ht="20" customHeight="1">
      <x:c r="A95" t="str">
        <x:v>HC-0094</x:v>
      </x:c>
      <x:c r="B95" t="str">
        <x:v>Kitchen and culinary</x:v>
      </x:c>
      <x:c r="C95" s="24" t="n">
        <x:v>4</x:v>
      </x:c>
      <x:c r="D95" t="str">
        <x:v>Senior Sous Chef</x:v>
      </x:c>
      <x:c r="E95" t="str">
        <x:v>L6 or management—review</x:v>
      </x:c>
      <x:c r="F95" t="str">
        <x:v>Restaurant or Hospitality General / other</x:v>
      </x:c>
      <x:c r="G95" t="str">
        <x:v>No automatic pay level from job title; review award coverage and managerial exclusion.</x:v>
      </x:c>
      <x:c r="H95" t="str">
        <x:v>https://awards.fairwork.gov.au/MA000119.html</x:v>
      </x:c>
    </x:row>
    <x:row r="96" ht="20" customHeight="1">
      <x:c r="A96" t="str">
        <x:v>HC-0095</x:v>
      </x:c>
      <x:c r="B96" t="str">
        <x:v>Kitchen and culinary</x:v>
      </x:c>
      <x:c r="C96" s="24" t="n">
        <x:v>4</x:v>
      </x:c>
      <x:c r="D96" t="str">
        <x:v>Sous Chef</x:v>
      </x:c>
      <x:c r="E96" t="str">
        <x:v>L6 or management—review</x:v>
      </x:c>
      <x:c r="F96" t="str">
        <x:v>Restaurant or Hospitality General / other</x:v>
      </x:c>
      <x:c r="G96" t="str">
        <x:v>No automatic pay level from job title; review award coverage and managerial exclusion.</x:v>
      </x:c>
      <x:c r="H96" t="str">
        <x:v>https://awards.fairwork.gov.au/MA000119.html</x:v>
      </x:c>
    </x:row>
    <x:row r="97" ht="20" customHeight="1">
      <x:c r="A97" t="str">
        <x:v>HC-0096</x:v>
      </x:c>
      <x:c r="B97" t="str">
        <x:v>Kitchen and culinary</x:v>
      </x:c>
      <x:c r="C97" s="24" t="n">
        <x:v>5</x:v>
      </x:c>
      <x:c r="D97" t="str">
        <x:v>Junior Sous Chef</x:v>
      </x:c>
      <x:c r="E97" t="str">
        <x:v>L5–L6 (duties-based)</x:v>
      </x:c>
      <x:c r="F97" t="str">
        <x:v>Restaurant or Hospitality General / other</x:v>
      </x:c>
      <x:c r="G97" t="str">
        <x:v>Indicative only—classification must follow actual duties, coverage and qualifications.</x:v>
      </x:c>
      <x:c r="H97" t="str">
        <x:v>https://awards.fairwork.gov.au/MA000119.html</x:v>
      </x:c>
    </x:row>
    <x:row r="98" ht="20" customHeight="1">
      <x:c r="A98" t="str">
        <x:v>HC-0097</x:v>
      </x:c>
      <x:c r="B98" t="str">
        <x:v>Kitchen and culinary</x:v>
      </x:c>
      <x:c r="C98" s="24" t="n">
        <x:v>5</x:v>
      </x:c>
      <x:c r="D98" t="str">
        <x:v>Chef de Partie (CDP)</x:v>
      </x:c>
      <x:c r="E98" t="str">
        <x:v>L6 (Cook grade 5)</x:v>
      </x:c>
      <x:c r="F98" t="str">
        <x:v>Restaurant or Hospitality General / other</x:v>
      </x:c>
      <x:c r="G98" t="str">
        <x:v>Indicative only—classification must follow actual duties, coverage and qualifications.</x:v>
      </x:c>
      <x:c r="H98" t="str">
        <x:v>https://awards.fairwork.gov.au/MA000119.html</x:v>
      </x:c>
    </x:row>
    <x:row r="99" ht="20" customHeight="1">
      <x:c r="A99" t="str">
        <x:v>HC-0098</x:v>
      </x:c>
      <x:c r="B99" t="str">
        <x:v>Kitchen and culinary</x:v>
      </x:c>
      <x:c r="C99" s="24" t="n">
        <x:v>5</x:v>
      </x:c>
      <x:c r="D99" t="str">
        <x:v>Grill Chef / Section Head</x:v>
      </x:c>
      <x:c r="E99" t="str">
        <x:v>L5–L6 (duties-based)</x:v>
      </x:c>
      <x:c r="F99" t="str">
        <x:v>Restaurant or Hospitality General / other</x:v>
      </x:c>
      <x:c r="G99" t="str">
        <x:v>Indicative only—classification must follow actual duties, coverage and qualifications.</x:v>
      </x:c>
      <x:c r="H99" t="str">
        <x:v>https://awards.fairwork.gov.au/MA000119.html</x:v>
      </x:c>
    </x:row>
    <x:row r="100" ht="20" customHeight="1">
      <x:c r="A100" t="str">
        <x:v>HC-0099</x:v>
      </x:c>
      <x:c r="B100" t="str">
        <x:v>Kitchen and culinary</x:v>
      </x:c>
      <x:c r="C100" s="24" t="n">
        <x:v>5</x:v>
      </x:c>
      <x:c r="D100" t="str">
        <x:v>Saucier / Sauce Chef</x:v>
      </x:c>
      <x:c r="E100" t="str">
        <x:v>L5–L6 (duties-based)</x:v>
      </x:c>
      <x:c r="F100" t="str">
        <x:v>Restaurant or Hospitality General / other</x:v>
      </x:c>
      <x:c r="G100" t="str">
        <x:v>Indicative only—classification must follow actual duties, coverage and qualifications.</x:v>
      </x:c>
      <x:c r="H100" t="str">
        <x:v>https://awards.fairwork.gov.au/MA000119.html</x:v>
      </x:c>
    </x:row>
    <x:row r="101" ht="20" customHeight="1">
      <x:c r="A101" t="str">
        <x:v>HC-0100</x:v>
      </x:c>
      <x:c r="B101" t="str">
        <x:v>Kitchen and culinary</x:v>
      </x:c>
      <x:c r="C101" s="24" t="n">
        <x:v>5</x:v>
      </x:c>
      <x:c r="D101" t="str">
        <x:v>Poissonnier / Fish Chef</x:v>
      </x:c>
      <x:c r="E101" t="str">
        <x:v>L5–L6 (duties-based)</x:v>
      </x:c>
      <x:c r="F101" t="str">
        <x:v>Restaurant or Hospitality General / other</x:v>
      </x:c>
      <x:c r="G101" t="str">
        <x:v>Indicative only—classification must follow actual duties, coverage and qualifications.</x:v>
      </x:c>
      <x:c r="H101" t="str">
        <x:v>https://awards.fairwork.gov.au/MA000119.html</x:v>
      </x:c>
    </x:row>
    <x:row r="102" ht="20" customHeight="1">
      <x:c r="A102" t="str">
        <x:v>HC-0101</x:v>
      </x:c>
      <x:c r="B102" t="str">
        <x:v>Kitchen and culinary</x:v>
      </x:c>
      <x:c r="C102" s="24" t="n">
        <x:v>5</x:v>
      </x:c>
      <x:c r="D102" t="str">
        <x:v>Entremetier / Vegetable Chef</x:v>
      </x:c>
      <x:c r="E102" t="str">
        <x:v>L5–L6 (duties-based)</x:v>
      </x:c>
      <x:c r="F102" t="str">
        <x:v>Restaurant or Hospitality General / other</x:v>
      </x:c>
      <x:c r="G102" t="str">
        <x:v>Indicative only—classification must follow actual duties, coverage and qualifications.</x:v>
      </x:c>
      <x:c r="H102" t="str">
        <x:v>https://awards.fairwork.gov.au/MA000119.html</x:v>
      </x:c>
    </x:row>
    <x:row r="103" ht="20" customHeight="1">
      <x:c r="A103" t="str">
        <x:v>HC-0102</x:v>
      </x:c>
      <x:c r="B103" t="str">
        <x:v>Kitchen and culinary</x:v>
      </x:c>
      <x:c r="C103" s="24" t="n">
        <x:v>5</x:v>
      </x:c>
      <x:c r="D103" t="str">
        <x:v>Garde Manger Chef</x:v>
      </x:c>
      <x:c r="E103" t="str">
        <x:v>L5–L6 (duties-based)</x:v>
      </x:c>
      <x:c r="F103" t="str">
        <x:v>Restaurant or Hospitality General / other</x:v>
      </x:c>
      <x:c r="G103" t="str">
        <x:v>Indicative only—classification must follow actual duties, coverage and qualifications.</x:v>
      </x:c>
      <x:c r="H103" t="str">
        <x:v>https://awards.fairwork.gov.au/MA000119.html</x:v>
      </x:c>
    </x:row>
    <x:row r="104" ht="20" customHeight="1">
      <x:c r="A104" t="str">
        <x:v>HC-0103</x:v>
      </x:c>
      <x:c r="B104" t="str">
        <x:v>Kitchen and culinary</x:v>
      </x:c>
      <x:c r="C104" s="24" t="n">
        <x:v>5</x:v>
      </x:c>
      <x:c r="D104" t="str">
        <x:v>Tournant / Relief Chef</x:v>
      </x:c>
      <x:c r="E104" t="str">
        <x:v>L5–L6 (duties-based)</x:v>
      </x:c>
      <x:c r="F104" t="str">
        <x:v>Restaurant or Hospitality General / other</x:v>
      </x:c>
      <x:c r="G104" t="str">
        <x:v>Indicative only—classification must follow actual duties, coverage and qualifications.</x:v>
      </x:c>
      <x:c r="H104" t="str">
        <x:v>https://awards.fairwork.gov.au/MA000119.html</x:v>
      </x:c>
    </x:row>
    <x:row r="105" ht="20" customHeight="1">
      <x:c r="A105" t="str">
        <x:v>HC-0104</x:v>
      </x:c>
      <x:c r="B105" t="str">
        <x:v>Kitchen and culinary</x:v>
      </x:c>
      <x:c r="C105" s="24" t="n">
        <x:v>5</x:v>
      </x:c>
      <x:c r="D105" t="str">
        <x:v>Larder Chef</x:v>
      </x:c>
      <x:c r="E105" t="str">
        <x:v>L5–L6 (duties-based)</x:v>
      </x:c>
      <x:c r="F105" t="str">
        <x:v>Restaurant or Hospitality General / other</x:v>
      </x:c>
      <x:c r="G105" t="str">
        <x:v>Indicative only—classification must follow actual duties, coverage and qualifications.</x:v>
      </x:c>
      <x:c r="H105" t="str">
        <x:v>https://awards.fairwork.gov.au/MA000119.html</x:v>
      </x:c>
    </x:row>
    <x:row r="106" ht="20" customHeight="1">
      <x:c r="A106" t="str">
        <x:v>HC-0105</x:v>
      </x:c>
      <x:c r="B106" t="str">
        <x:v>Kitchen and culinary</x:v>
      </x:c>
      <x:c r="C106" s="24" t="n">
        <x:v>6</x:v>
      </x:c>
      <x:c r="D106" t="str">
        <x:v>Demi Chef de Partie</x:v>
      </x:c>
      <x:c r="E106" t="str">
        <x:v>L5 (Cook grade 4)</x:v>
      </x:c>
      <x:c r="F106" t="str">
        <x:v>Restaurant or Hospitality General / other</x:v>
      </x:c>
      <x:c r="G106" t="str">
        <x:v>Indicative only—classification must follow actual duties, coverage and qualifications.</x:v>
      </x:c>
      <x:c r="H106" t="str">
        <x:v>https://awards.fairwork.gov.au/MA000119.html</x:v>
      </x:c>
    </x:row>
    <x:row r="107" ht="20" customHeight="1">
      <x:c r="A107" t="str">
        <x:v>HC-0106</x:v>
      </x:c>
      <x:c r="B107" t="str">
        <x:v>Kitchen and culinary</x:v>
      </x:c>
      <x:c r="C107" s="24" t="n">
        <x:v>6</x:v>
      </x:c>
      <x:c r="D107" t="str">
        <x:v>Demi Chef</x:v>
      </x:c>
      <x:c r="E107" t="str">
        <x:v>L5 (Cook grade 4)</x:v>
      </x:c>
      <x:c r="F107" t="str">
        <x:v>Restaurant or Hospitality General / other</x:v>
      </x:c>
      <x:c r="G107" t="str">
        <x:v>Indicative only—classification must follow actual duties, coverage and qualifications.</x:v>
      </x:c>
      <x:c r="H107" t="str">
        <x:v>https://awards.fairwork.gov.au/MA000119.html</x:v>
      </x:c>
    </x:row>
    <x:row r="108" ht="20" customHeight="1">
      <x:c r="A108" t="str">
        <x:v>HC-0107</x:v>
      </x:c>
      <x:c r="B108" t="str">
        <x:v>Kitchen and culinary</x:v>
      </x:c>
      <x:c r="C108" s="24" t="n">
        <x:v>6</x:v>
      </x:c>
      <x:c r="D108" t="str">
        <x:v>Qualified Commis Chef</x:v>
      </x:c>
      <x:c r="E108" t="str">
        <x:v>L4 (Cook grade 3)</x:v>
      </x:c>
      <x:c r="F108" t="str">
        <x:v>Restaurant or Hospitality General / other</x:v>
      </x:c>
      <x:c r="G108" t="str">
        <x:v>Indicative only—classification must follow actual duties, coverage and qualifications.</x:v>
      </x:c>
      <x:c r="H108" t="str">
        <x:v>https://awards.fairwork.gov.au/MA000119.html</x:v>
      </x:c>
    </x:row>
    <x:row r="109" ht="20" customHeight="1">
      <x:c r="A109" t="str">
        <x:v>HC-0108</x:v>
      </x:c>
      <x:c r="B109" t="str">
        <x:v>Kitchen and culinary</x:v>
      </x:c>
      <x:c r="C109" s="24" t="n">
        <x:v>6</x:v>
      </x:c>
      <x:c r="D109" t="str">
        <x:v>Pizza Chef</x:v>
      </x:c>
      <x:c r="E109" t="str">
        <x:v>L2–L6 (qualification/duties-based)</x:v>
      </x:c>
      <x:c r="F109" t="str">
        <x:v>Restaurant or Hospitality General / other</x:v>
      </x:c>
      <x:c r="G109" t="str">
        <x:v>Indicative only—classification must follow actual duties, coverage and qualifications.</x:v>
      </x:c>
      <x:c r="H109" t="str">
        <x:v>https://awards.fairwork.gov.au/MA000119.html</x:v>
      </x:c>
    </x:row>
    <x:row r="110" ht="20" customHeight="1">
      <x:c r="A110" t="str">
        <x:v>HC-0109</x:v>
      </x:c>
      <x:c r="B110" t="str">
        <x:v>Kitchen and culinary</x:v>
      </x:c>
      <x:c r="C110" s="24" t="n">
        <x:v>6</x:v>
      </x:c>
      <x:c r="D110" t="str">
        <x:v>Pasta Chef</x:v>
      </x:c>
      <x:c r="E110" t="str">
        <x:v>L2–L6 (qualification/duties-based)</x:v>
      </x:c>
      <x:c r="F110" t="str">
        <x:v>Restaurant or Hospitality General / other</x:v>
      </x:c>
      <x:c r="G110" t="str">
        <x:v>Indicative only—classification must follow actual duties, coverage and qualifications.</x:v>
      </x:c>
      <x:c r="H110" t="str">
        <x:v>https://awards.fairwork.gov.au/MA000119.html</x:v>
      </x:c>
    </x:row>
    <x:row r="111" ht="20" customHeight="1">
      <x:c r="A111" t="str">
        <x:v>HC-0110</x:v>
      </x:c>
      <x:c r="B111" t="str">
        <x:v>Kitchen and culinary</x:v>
      </x:c>
      <x:c r="C111" s="24" t="n">
        <x:v>6</x:v>
      </x:c>
      <x:c r="D111" t="str">
        <x:v>Breakfast Chef</x:v>
      </x:c>
      <x:c r="E111" t="str">
        <x:v>L2–L6 (qualification/duties-based)</x:v>
      </x:c>
      <x:c r="F111" t="str">
        <x:v>Restaurant or Hospitality General / other</x:v>
      </x:c>
      <x:c r="G111" t="str">
        <x:v>Indicative only—classification must follow actual duties, coverage and qualifications.</x:v>
      </x:c>
      <x:c r="H111" t="str">
        <x:v>https://awards.fairwork.gov.au/MA000119.html</x:v>
      </x:c>
    </x:row>
    <x:row r="112" ht="20" customHeight="1">
      <x:c r="A112" t="str">
        <x:v>HC-0111</x:v>
      </x:c>
      <x:c r="B112" t="str">
        <x:v>Kitchen and culinary</x:v>
      </x:c>
      <x:c r="C112" s="24" t="n">
        <x:v>6</x:v>
      </x:c>
      <x:c r="D112" t="str">
        <x:v>Wok Chef</x:v>
      </x:c>
      <x:c r="E112" t="str">
        <x:v>L2–L6 (qualification/duties-based)</x:v>
      </x:c>
      <x:c r="F112" t="str">
        <x:v>Restaurant or Hospitality General / other</x:v>
      </x:c>
      <x:c r="G112" t="str">
        <x:v>Indicative only—classification must follow actual duties, coverage and qualifications.</x:v>
      </x:c>
      <x:c r="H112" t="str">
        <x:v>https://awards.fairwork.gov.au/MA000119.html</x:v>
      </x:c>
    </x:row>
    <x:row r="113" ht="20" customHeight="1">
      <x:c r="A113" t="str">
        <x:v>HC-0112</x:v>
      </x:c>
      <x:c r="B113" t="str">
        <x:v>Kitchen and culinary</x:v>
      </x:c>
      <x:c r="C113" s="24" t="n">
        <x:v>6</x:v>
      </x:c>
      <x:c r="D113" t="str">
        <x:v>Tandoor Chef</x:v>
      </x:c>
      <x:c r="E113" t="str">
        <x:v>L2–L6 (qualification/duties-based)</x:v>
      </x:c>
      <x:c r="F113" t="str">
        <x:v>Restaurant or Hospitality General / other</x:v>
      </x:c>
      <x:c r="G113" t="str">
        <x:v>Indicative only—classification must follow actual duties, coverage and qualifications.</x:v>
      </x:c>
      <x:c r="H113" t="str">
        <x:v>https://awards.fairwork.gov.au/MA000119.html</x:v>
      </x:c>
    </x:row>
    <x:row r="114" ht="20" customHeight="1">
      <x:c r="A114" t="str">
        <x:v>HC-0113</x:v>
      </x:c>
      <x:c r="B114" t="str">
        <x:v>Kitchen and culinary</x:v>
      </x:c>
      <x:c r="C114" s="24" t="n">
        <x:v>6</x:v>
      </x:c>
      <x:c r="D114" t="str">
        <x:v>Sushi Chef</x:v>
      </x:c>
      <x:c r="E114" t="str">
        <x:v>L2–L6 (qualification/duties-based)</x:v>
      </x:c>
      <x:c r="F114" t="str">
        <x:v>Restaurant or Hospitality General / other</x:v>
      </x:c>
      <x:c r="G114" t="str">
        <x:v>Indicative only—classification must follow actual duties, coverage and qualifications.</x:v>
      </x:c>
      <x:c r="H114" t="str">
        <x:v>https://awards.fairwork.gov.au/MA000119.html</x:v>
      </x:c>
    </x:row>
    <x:row r="115" ht="20" customHeight="1">
      <x:c r="A115" t="str">
        <x:v>HC-0114</x:v>
      </x:c>
      <x:c r="B115" t="str">
        <x:v>Kitchen and culinary</x:v>
      </x:c>
      <x:c r="C115" s="24" t="n">
        <x:v>6</x:v>
      </x:c>
      <x:c r="D115" t="str">
        <x:v>Teppanyaki Chef</x:v>
      </x:c>
      <x:c r="E115" t="str">
        <x:v>L2–L6 (qualification/duties-based)</x:v>
      </x:c>
      <x:c r="F115" t="str">
        <x:v>Restaurant or Hospitality General / other</x:v>
      </x:c>
      <x:c r="G115" t="str">
        <x:v>Indicative only—classification must follow actual duties, coverage and qualifications.</x:v>
      </x:c>
      <x:c r="H115" t="str">
        <x:v>https://awards.fairwork.gov.au/MA000119.html</x:v>
      </x:c>
    </x:row>
    <x:row r="116" ht="20" customHeight="1">
      <x:c r="A116" t="str">
        <x:v>HC-0115</x:v>
      </x:c>
      <x:c r="B116" t="str">
        <x:v>Kitchen and culinary</x:v>
      </x:c>
      <x:c r="C116" s="24" t="n">
        <x:v>6</x:v>
      </x:c>
      <x:c r="D116" t="str">
        <x:v>Butcher / Charcutier</x:v>
      </x:c>
      <x:c r="E116" t="str">
        <x:v>L2–L6 (qualification/duties-based)</x:v>
      </x:c>
      <x:c r="F116" t="str">
        <x:v>Restaurant or Hospitality General / other</x:v>
      </x:c>
      <x:c r="G116" t="str">
        <x:v>Indicative only—classification must follow actual duties, coverage and qualifications.</x:v>
      </x:c>
      <x:c r="H116" t="str">
        <x:v>https://awards.fairwork.gov.au/MA000119.html</x:v>
      </x:c>
    </x:row>
    <x:row r="117" ht="20" customHeight="1">
      <x:c r="A117" t="str">
        <x:v>HC-0116</x:v>
      </x:c>
      <x:c r="B117" t="str">
        <x:v>Kitchen and culinary</x:v>
      </x:c>
      <x:c r="C117" s="24" t="n">
        <x:v>7</x:v>
      </x:c>
      <x:c r="D117" t="str">
        <x:v>Cook Grade 2</x:v>
      </x:c>
      <x:c r="E117" t="str">
        <x:v>L3</x:v>
      </x:c>
      <x:c r="F117" t="str">
        <x:v>Restaurant or Hospitality General / other</x:v>
      </x:c>
      <x:c r="G117" t="str">
        <x:v>Indicative only—classification must follow actual duties, coverage and qualifications.</x:v>
      </x:c>
      <x:c r="H117" t="str">
        <x:v>https://awards.fairwork.gov.au/MA000119.html</x:v>
      </x:c>
    </x:row>
    <x:row r="118" ht="20" customHeight="1">
      <x:c r="A118" t="str">
        <x:v>HC-0117</x:v>
      </x:c>
      <x:c r="B118" t="str">
        <x:v>Kitchen and culinary</x:v>
      </x:c>
      <x:c r="C118" s="24" t="n">
        <x:v>7</x:v>
      </x:c>
      <x:c r="D118" t="str">
        <x:v>Cook Grade 1</x:v>
      </x:c>
      <x:c r="E118" t="str">
        <x:v>L2</x:v>
      </x:c>
      <x:c r="F118" t="str">
        <x:v>Restaurant or Hospitality General / other</x:v>
      </x:c>
      <x:c r="G118" t="str">
        <x:v>Indicative only—classification must follow actual duties, coverage and qualifications.</x:v>
      </x:c>
      <x:c r="H118" t="str">
        <x:v>https://awards.fairwork.gov.au/MA000119.html</x:v>
      </x:c>
    </x:row>
    <x:row r="119" ht="20" customHeight="1">
      <x:c r="A119" t="str">
        <x:v>HC-0118</x:v>
      </x:c>
      <x:c r="B119" t="str">
        <x:v>Kitchen and culinary</x:v>
      </x:c>
      <x:c r="C119" s="24" t="n">
        <x:v>7</x:v>
      </x:c>
      <x:c r="D119" t="str">
        <x:v>Prep Cook / Kitchen Cook</x:v>
      </x:c>
      <x:c r="E119" t="str">
        <x:v>L2–L3 (duties-based)</x:v>
      </x:c>
      <x:c r="F119" t="str">
        <x:v>Restaurant or Hospitality General / other</x:v>
      </x:c>
      <x:c r="G119" t="str">
        <x:v>Indicative only—classification must follow actual duties, coverage and qualifications.</x:v>
      </x:c>
      <x:c r="H119" t="str">
        <x:v>https://awards.fairwork.gov.au/MA000119.html</x:v>
      </x:c>
    </x:row>
    <x:row r="120" ht="20" customHeight="1">
      <x:c r="A120" t="str">
        <x:v>HC-0119</x:v>
      </x:c>
      <x:c r="B120" t="str">
        <x:v>Kitchen and culinary</x:v>
      </x:c>
      <x:c r="C120" s="24" t="n">
        <x:v>7</x:v>
      </x:c>
      <x:c r="D120" t="str">
        <x:v>Commis Chef (unqualified)</x:v>
      </x:c>
      <x:c r="E120" t="str">
        <x:v>L2–L3 (duties-based)</x:v>
      </x:c>
      <x:c r="F120" t="str">
        <x:v>Restaurant or Hospitality General / other</x:v>
      </x:c>
      <x:c r="G120" t="str">
        <x:v>Indicative only—classification must follow actual duties, coverage and qualifications.</x:v>
      </x:c>
      <x:c r="H120" t="str">
        <x:v>https://awards.fairwork.gov.au/MA000119.html</x:v>
      </x:c>
    </x:row>
    <x:row r="121" ht="20" customHeight="1">
      <x:c r="A121" t="str">
        <x:v>HC-0120</x:v>
      </x:c>
      <x:c r="B121" t="str">
        <x:v>Kitchen and culinary</x:v>
      </x:c>
      <x:c r="C121" s="24" t="n">
        <x:v>7</x:v>
      </x:c>
      <x:c r="D121" t="str">
        <x:v>Apprentice Chef Year 4</x:v>
      </x:c>
      <x:c r="E121" t="str">
        <x:v>Apprentice schedule</x:v>
      </x:c>
      <x:c r="F121" t="str">
        <x:v>Restaurant or Hospitality General / other</x:v>
      </x:c>
      <x:c r="G121" t="str">
        <x:v>Indicative only—classification must follow actual duties, coverage and qualifications.</x:v>
      </x:c>
      <x:c r="H121" t="str">
        <x:v>https://awards.fairwork.gov.au/MA000119.html</x:v>
      </x:c>
    </x:row>
    <x:row r="122" ht="20" customHeight="1">
      <x:c r="A122" t="str">
        <x:v>HC-0121</x:v>
      </x:c>
      <x:c r="B122" t="str">
        <x:v>Kitchen and culinary</x:v>
      </x:c>
      <x:c r="C122" s="24" t="n">
        <x:v>7</x:v>
      </x:c>
      <x:c r="D122" t="str">
        <x:v>Apprentice Chef Year 3</x:v>
      </x:c>
      <x:c r="E122" t="str">
        <x:v>Apprentice schedule</x:v>
      </x:c>
      <x:c r="F122" t="str">
        <x:v>Restaurant or Hospitality General / other</x:v>
      </x:c>
      <x:c r="G122" t="str">
        <x:v>Indicative only—classification must follow actual duties, coverage and qualifications.</x:v>
      </x:c>
      <x:c r="H122" t="str">
        <x:v>https://awards.fairwork.gov.au/MA000119.html</x:v>
      </x:c>
    </x:row>
    <x:row r="123" ht="20" customHeight="1">
      <x:c r="A123" t="str">
        <x:v>HC-0122</x:v>
      </x:c>
      <x:c r="B123" t="str">
        <x:v>Kitchen and culinary</x:v>
      </x:c>
      <x:c r="C123" s="24" t="n">
        <x:v>7</x:v>
      </x:c>
      <x:c r="D123" t="str">
        <x:v>Apprentice Chef Year 2</x:v>
      </x:c>
      <x:c r="E123" t="str">
        <x:v>Apprentice schedule</x:v>
      </x:c>
      <x:c r="F123" t="str">
        <x:v>Restaurant or Hospitality General / other</x:v>
      </x:c>
      <x:c r="G123" t="str">
        <x:v>Indicative only—classification must follow actual duties, coverage and qualifications.</x:v>
      </x:c>
      <x:c r="H123" t="str">
        <x:v>https://awards.fairwork.gov.au/MA000119.html</x:v>
      </x:c>
    </x:row>
    <x:row r="124" ht="20" customHeight="1">
      <x:c r="A124" t="str">
        <x:v>HC-0123</x:v>
      </x:c>
      <x:c r="B124" t="str">
        <x:v>Kitchen and culinary</x:v>
      </x:c>
      <x:c r="C124" s="24" t="n">
        <x:v>8</x:v>
      </x:c>
      <x:c r="D124" t="str">
        <x:v>Apprentice Chef Year 1</x:v>
      </x:c>
      <x:c r="E124" t="str">
        <x:v>Apprentice schedule</x:v>
      </x:c>
      <x:c r="F124" t="str">
        <x:v>Restaurant or Hospitality General / other</x:v>
      </x:c>
      <x:c r="G124" t="str">
        <x:v>Indicative only—classification must follow actual duties, coverage and qualifications.</x:v>
      </x:c>
      <x:c r="H124" t="str">
        <x:v>https://awards.fairwork.gov.au/MA000119.html</x:v>
      </x:c>
    </x:row>
    <x:row r="125" ht="20" customHeight="1">
      <x:c r="A125" t="str">
        <x:v>HC-0124</x:v>
      </x:c>
      <x:c r="B125" t="str">
        <x:v>Kitchen and culinary</x:v>
      </x:c>
      <x:c r="C125" s="24" t="n">
        <x:v>8</x:v>
      </x:c>
      <x:c r="D125" t="str">
        <x:v>Kitchen Trainee</x:v>
      </x:c>
      <x:c r="E125" t="str">
        <x:v>Introductory (time-limited)</x:v>
      </x:c>
      <x:c r="F125" t="str">
        <x:v>Restaurant or Hospitality General / other</x:v>
      </x:c>
      <x:c r="G125" t="str">
        <x:v>Indicative only—classification must follow actual duties, coverage and qualifications.</x:v>
      </x:c>
      <x:c r="H125" t="str">
        <x:v>https://awards.fairwork.gov.au/MA000119.html</x:v>
      </x:c>
    </x:row>
    <x:row r="126" ht="20" customHeight="1">
      <x:c r="A126" t="str">
        <x:v>HC-0125</x:v>
      </x:c>
      <x:c r="B126" t="str">
        <x:v>Pastry bakery and dessert</x:v>
      </x:c>
      <x:c r="C126" s="24" t="n">
        <x:v>3</x:v>
      </x:c>
      <x:c r="D126" t="str">
        <x:v>Executive Pastry Chef</x:v>
      </x:c>
      <x:c r="E126" t="str">
        <x:v>Management—review</x:v>
      </x:c>
      <x:c r="F126" t="str">
        <x:v>Restaurant or Hospitality General / other</x:v>
      </x:c>
      <x:c r="G126" t="str">
        <x:v>No automatic pay level from job title; review award coverage and managerial exclusion.</x:v>
      </x:c>
      <x:c r="H126" t="str">
        <x:v>https://awards.fairwork.gov.au/MA000119.html</x:v>
      </x:c>
    </x:row>
    <x:row r="127" ht="20" customHeight="1">
      <x:c r="A127" t="str">
        <x:v>HC-0126</x:v>
      </x:c>
      <x:c r="B127" t="str">
        <x:v>Pastry bakery and dessert</x:v>
      </x:c>
      <x:c r="C127" s="24" t="n">
        <x:v>4</x:v>
      </x:c>
      <x:c r="D127" t="str">
        <x:v>Head Pastry Chef</x:v>
      </x:c>
      <x:c r="E127" t="str">
        <x:v>L6 or management—review</x:v>
      </x:c>
      <x:c r="F127" t="str">
        <x:v>Restaurant or Hospitality General / other</x:v>
      </x:c>
      <x:c r="G127" t="str">
        <x:v>No automatic pay level from job title; review award coverage and managerial exclusion.</x:v>
      </x:c>
      <x:c r="H127" t="str">
        <x:v>https://awards.fairwork.gov.au/MA000119.html</x:v>
      </x:c>
    </x:row>
    <x:row r="128" ht="20" customHeight="1">
      <x:c r="A128" t="str">
        <x:v>HC-0127</x:v>
      </x:c>
      <x:c r="B128" t="str">
        <x:v>Pastry bakery and dessert</x:v>
      </x:c>
      <x:c r="C128" s="24" t="n">
        <x:v>4</x:v>
      </x:c>
      <x:c r="D128" t="str">
        <x:v>Head Baker</x:v>
      </x:c>
      <x:c r="E128" t="str">
        <x:v>L6 or management—review</x:v>
      </x:c>
      <x:c r="F128" t="str">
        <x:v>Restaurant or Hospitality General / other</x:v>
      </x:c>
      <x:c r="G128" t="str">
        <x:v>No automatic pay level from job title; review award coverage and managerial exclusion.</x:v>
      </x:c>
      <x:c r="H128" t="str">
        <x:v>https://awards.fairwork.gov.au/MA000119.html</x:v>
      </x:c>
    </x:row>
    <x:row r="129" ht="20" customHeight="1">
      <x:c r="A129" t="str">
        <x:v>HC-0128</x:v>
      </x:c>
      <x:c r="B129" t="str">
        <x:v>Pastry bakery and dessert</x:v>
      </x:c>
      <x:c r="C129" s="24" t="n">
        <x:v>5</x:v>
      </x:c>
      <x:c r="D129" t="str">
        <x:v>Pastry Sous Chef</x:v>
      </x:c>
      <x:c r="E129" t="str">
        <x:v>L5–L6 (duties-based)</x:v>
      </x:c>
      <x:c r="F129" t="str">
        <x:v>Restaurant or Hospitality General / other</x:v>
      </x:c>
      <x:c r="G129" t="str">
        <x:v>Indicative only—classification must follow actual duties, coverage and qualifications.</x:v>
      </x:c>
      <x:c r="H129" t="str">
        <x:v>https://awards.fairwork.gov.au/MA000119.html</x:v>
      </x:c>
    </x:row>
    <x:row r="130" ht="20" customHeight="1">
      <x:c r="A130" t="str">
        <x:v>HC-0129</x:v>
      </x:c>
      <x:c r="B130" t="str">
        <x:v>Pastry bakery and dessert</x:v>
      </x:c>
      <x:c r="C130" s="24" t="n">
        <x:v>5</x:v>
      </x:c>
      <x:c r="D130" t="str">
        <x:v>Chef de Partie - Pastry</x:v>
      </x:c>
      <x:c r="E130" t="str">
        <x:v>L6</x:v>
      </x:c>
      <x:c r="F130" t="str">
        <x:v>Restaurant or Hospitality General / other</x:v>
      </x:c>
      <x:c r="G130" t="str">
        <x:v>Indicative only—classification must follow actual duties, coverage and qualifications.</x:v>
      </x:c>
      <x:c r="H130" t="str">
        <x:v>https://awards.fairwork.gov.au/MA000119.html</x:v>
      </x:c>
    </x:row>
    <x:row r="131" ht="20" customHeight="1">
      <x:c r="A131" t="str">
        <x:v>HC-0130</x:v>
      </x:c>
      <x:c r="B131" t="str">
        <x:v>Pastry bakery and dessert</x:v>
      </x:c>
      <x:c r="C131" s="24" t="n">
        <x:v>5</x:v>
      </x:c>
      <x:c r="D131" t="str">
        <x:v>Chef de Partie - Bakery</x:v>
      </x:c>
      <x:c r="E131" t="str">
        <x:v>L6</x:v>
      </x:c>
      <x:c r="F131" t="str">
        <x:v>Restaurant or Hospitality General / other</x:v>
      </x:c>
      <x:c r="G131" t="str">
        <x:v>Indicative only—classification must follow actual duties, coverage and qualifications.</x:v>
      </x:c>
      <x:c r="H131" t="str">
        <x:v>https://awards.fairwork.gov.au/MA000119.html</x:v>
      </x:c>
    </x:row>
    <x:row r="132" ht="20" customHeight="1">
      <x:c r="A132" t="str">
        <x:v>HC-0131</x:v>
      </x:c>
      <x:c r="B132" t="str">
        <x:v>Pastry bakery and dessert</x:v>
      </x:c>
      <x:c r="C132" s="24" t="n">
        <x:v>5</x:v>
      </x:c>
      <x:c r="D132" t="str">
        <x:v>Chocolatier / Confectionery Section Lead</x:v>
      </x:c>
      <x:c r="E132" t="str">
        <x:v>L5–L6 (duties-based)</x:v>
      </x:c>
      <x:c r="F132" t="str">
        <x:v>Restaurant or Hospitality General / other</x:v>
      </x:c>
      <x:c r="G132" t="str">
        <x:v>Indicative only—classification must follow actual duties, coverage and qualifications.</x:v>
      </x:c>
      <x:c r="H132" t="str">
        <x:v>https://awards.fairwork.gov.au/MA000119.html</x:v>
      </x:c>
    </x:row>
    <x:row r="133" ht="20" customHeight="1">
      <x:c r="A133" t="str">
        <x:v>HC-0132</x:v>
      </x:c>
      <x:c r="B133" t="str">
        <x:v>Pastry bakery and dessert</x:v>
      </x:c>
      <x:c r="C133" s="24" t="n">
        <x:v>6</x:v>
      </x:c>
      <x:c r="D133" t="str">
        <x:v>Demi Chef - Pastry</x:v>
      </x:c>
      <x:c r="E133" t="str">
        <x:v>L5</x:v>
      </x:c>
      <x:c r="F133" t="str">
        <x:v>Restaurant or Hospitality General / other</x:v>
      </x:c>
      <x:c r="G133" t="str">
        <x:v>Indicative only—classification must follow actual duties, coverage and qualifications.</x:v>
      </x:c>
      <x:c r="H133" t="str">
        <x:v>https://awards.fairwork.gov.au/MA000119.html</x:v>
      </x:c>
    </x:row>
    <x:row r="134" ht="20" customHeight="1">
      <x:c r="A134" t="str">
        <x:v>HC-0133</x:v>
      </x:c>
      <x:c r="B134" t="str">
        <x:v>Pastry bakery and dessert</x:v>
      </x:c>
      <x:c r="C134" s="24" t="n">
        <x:v>6</x:v>
      </x:c>
      <x:c r="D134" t="str">
        <x:v>Qualified Pastry Commis</x:v>
      </x:c>
      <x:c r="E134" t="str">
        <x:v>L4</x:v>
      </x:c>
      <x:c r="F134" t="str">
        <x:v>Restaurant or Hospitality General / other</x:v>
      </x:c>
      <x:c r="G134" t="str">
        <x:v>Indicative only—classification must follow actual duties, coverage and qualifications.</x:v>
      </x:c>
      <x:c r="H134" t="str">
        <x:v>https://awards.fairwork.gov.au/MA000119.html</x:v>
      </x:c>
    </x:row>
    <x:row r="135" ht="20" customHeight="1">
      <x:c r="A135" t="str">
        <x:v>HC-0134</x:v>
      </x:c>
      <x:c r="B135" t="str">
        <x:v>Pastry bakery and dessert</x:v>
      </x:c>
      <x:c r="C135" s="24" t="n">
        <x:v>6</x:v>
      </x:c>
      <x:c r="D135" t="str">
        <x:v>Baker</x:v>
      </x:c>
      <x:c r="E135" t="str">
        <x:v>L2–L6 (award/duties review)</x:v>
      </x:c>
      <x:c r="F135" t="str">
        <x:v>Restaurant or Hospitality General / other</x:v>
      </x:c>
      <x:c r="G135" t="str">
        <x:v>No automatic pay level from job title; review award coverage and managerial exclusion.</x:v>
      </x:c>
      <x:c r="H135" t="str">
        <x:v>https://awards.fairwork.gov.au/MA000119.html</x:v>
      </x:c>
    </x:row>
    <x:row r="136" ht="20" customHeight="1">
      <x:c r="A136" t="str">
        <x:v>HC-0135</x:v>
      </x:c>
      <x:c r="B136" t="str">
        <x:v>Pastry bakery and dessert</x:v>
      </x:c>
      <x:c r="C136" s="24" t="n">
        <x:v>6</x:v>
      </x:c>
      <x:c r="D136" t="str">
        <x:v>Cake Decorator</x:v>
      </x:c>
      <x:c r="E136" t="str">
        <x:v>L2–L4 (award/duties review)</x:v>
      </x:c>
      <x:c r="F136" t="str">
        <x:v>Restaurant or Hospitality General / other</x:v>
      </x:c>
      <x:c r="G136" t="str">
        <x:v>No automatic pay level from job title; review award coverage and managerial exclusion.</x:v>
      </x:c>
      <x:c r="H136" t="str">
        <x:v>https://awards.fairwork.gov.au/MA000119.html</x:v>
      </x:c>
    </x:row>
    <x:row r="137" ht="20" customHeight="1">
      <x:c r="A137" t="str">
        <x:v>HC-0136</x:v>
      </x:c>
      <x:c r="B137" t="str">
        <x:v>Pastry bakery and dessert</x:v>
      </x:c>
      <x:c r="C137" s="24" t="n">
        <x:v>6</x:v>
      </x:c>
      <x:c r="D137" t="str">
        <x:v>Dessert Chef</x:v>
      </x:c>
      <x:c r="E137" t="str">
        <x:v>L4–L6 (duties-based)</x:v>
      </x:c>
      <x:c r="F137" t="str">
        <x:v>Restaurant or Hospitality General / other</x:v>
      </x:c>
      <x:c r="G137" t="str">
        <x:v>Indicative only—classification must follow actual duties, coverage and qualifications.</x:v>
      </x:c>
      <x:c r="H137" t="str">
        <x:v>https://awards.fairwork.gov.au/MA000119.html</x:v>
      </x:c>
    </x:row>
    <x:row r="138" ht="20" customHeight="1">
      <x:c r="A138" t="str">
        <x:v>HC-0137</x:v>
      </x:c>
      <x:c r="B138" t="str">
        <x:v>Pastry bakery and dessert</x:v>
      </x:c>
      <x:c r="C138" s="24" t="n">
        <x:v>6</x:v>
      </x:c>
      <x:c r="D138" t="str">
        <x:v>Gelato / Ice Cream Maker</x:v>
      </x:c>
      <x:c r="E138" t="str">
        <x:v>L2–L4 (duties-based)</x:v>
      </x:c>
      <x:c r="F138" t="str">
        <x:v>Restaurant or Hospitality General / other</x:v>
      </x:c>
      <x:c r="G138" t="str">
        <x:v>Indicative only—classification must follow actual duties, coverage and qualifications.</x:v>
      </x:c>
      <x:c r="H138" t="str">
        <x:v>https://awards.fairwork.gov.au/MA000119.html</x:v>
      </x:c>
    </x:row>
    <x:row r="139" ht="20" customHeight="1">
      <x:c r="A139" t="str">
        <x:v>HC-0138</x:v>
      </x:c>
      <x:c r="B139" t="str">
        <x:v>Pastry bakery and dessert</x:v>
      </x:c>
      <x:c r="C139" s="24" t="n">
        <x:v>7</x:v>
      </x:c>
      <x:c r="D139" t="str">
        <x:v>Pastry Assistant</x:v>
      </x:c>
      <x:c r="E139" t="str">
        <x:v>L1–L3</x:v>
      </x:c>
      <x:c r="F139" t="str">
        <x:v>Restaurant or Hospitality General / other</x:v>
      </x:c>
      <x:c r="G139" t="str">
        <x:v>Indicative only—classification must follow actual duties, coverage and qualifications.</x:v>
      </x:c>
      <x:c r="H139" t="str">
        <x:v>https://awards.fairwork.gov.au/MA000119.html</x:v>
      </x:c>
    </x:row>
    <x:row r="140" ht="20" customHeight="1">
      <x:c r="A140" t="str">
        <x:v>HC-0139</x:v>
      </x:c>
      <x:c r="B140" t="str">
        <x:v>Pastry bakery and dessert</x:v>
      </x:c>
      <x:c r="C140" s="24" t="n">
        <x:v>7</x:v>
      </x:c>
      <x:c r="D140" t="str">
        <x:v>Bakery Assistant</x:v>
      </x:c>
      <x:c r="E140" t="str">
        <x:v>L1–L3</x:v>
      </x:c>
      <x:c r="F140" t="str">
        <x:v>Restaurant or Hospitality General / other</x:v>
      </x:c>
      <x:c r="G140" t="str">
        <x:v>Indicative only—classification must follow actual duties, coverage and qualifications.</x:v>
      </x:c>
      <x:c r="H140" t="str">
        <x:v>https://awards.fairwork.gov.au/MA000119.html</x:v>
      </x:c>
    </x:row>
    <x:row r="141" ht="20" customHeight="1">
      <x:c r="A141" t="str">
        <x:v>HC-0140</x:v>
      </x:c>
      <x:c r="B141" t="str">
        <x:v>Pastry bakery and dessert</x:v>
      </x:c>
      <x:c r="C141" s="24" t="n">
        <x:v>8</x:v>
      </x:c>
      <x:c r="D141" t="str">
        <x:v>Apprentice Pastry Chef</x:v>
      </x:c>
      <x:c r="E141" t="str">
        <x:v>Apprentice schedule</x:v>
      </x:c>
      <x:c r="F141" t="str">
        <x:v>Restaurant or Hospitality General / other</x:v>
      </x:c>
      <x:c r="G141" t="str">
        <x:v>Indicative only—classification must follow actual duties, coverage and qualifications.</x:v>
      </x:c>
      <x:c r="H141" t="str">
        <x:v>https://awards.fairwork.gov.au/MA000119.html</x:v>
      </x:c>
    </x:row>
    <x:row r="142" ht="20" customHeight="1">
      <x:c r="A142" t="str">
        <x:v>HC-0141</x:v>
      </x:c>
      <x:c r="B142" t="str">
        <x:v>Banquets weddings and events</x:v>
      </x:c>
      <x:c r="C142" s="24" t="n">
        <x:v>2</x:v>
      </x:c>
      <x:c r="D142" t="str">
        <x:v>Director of Events and Banquets</x:v>
      </x:c>
      <x:c r="E142" t="str">
        <x:v>Management—review</x:v>
      </x:c>
      <x:c r="F142" t="str">
        <x:v>Restaurant or Hospitality General / other</x:v>
      </x:c>
      <x:c r="G142" t="str">
        <x:v>No automatic pay level from job title; review award coverage and managerial exclusion.</x:v>
      </x:c>
      <x:c r="H142" t="str">
        <x:v>https://awards.fairwork.gov.au/MA000119.html</x:v>
      </x:c>
    </x:row>
    <x:row r="143" ht="20" customHeight="1">
      <x:c r="A143" t="str">
        <x:v>HC-0142</x:v>
      </x:c>
      <x:c r="B143" t="str">
        <x:v>Banquets weddings and events</x:v>
      </x:c>
      <x:c r="C143" s="24" t="n">
        <x:v>3</x:v>
      </x:c>
      <x:c r="D143" t="str">
        <x:v>Conference and Banqueting Director</x:v>
      </x:c>
      <x:c r="E143" t="str">
        <x:v>Management—review</x:v>
      </x:c>
      <x:c r="F143" t="str">
        <x:v>Restaurant or Hospitality General / other</x:v>
      </x:c>
      <x:c r="G143" t="str">
        <x:v>No automatic pay level from job title; review award coverage and managerial exclusion.</x:v>
      </x:c>
      <x:c r="H143" t="str">
        <x:v>https://awards.fairwork.gov.au/MA000119.html</x:v>
      </x:c>
    </x:row>
    <x:row r="144" ht="20" customHeight="1">
      <x:c r="A144" t="str">
        <x:v>HC-0143</x:v>
      </x:c>
      <x:c r="B144" t="str">
        <x:v>Banquets weddings and events</x:v>
      </x:c>
      <x:c r="C144" s="24" t="n">
        <x:v>3</x:v>
      </x:c>
      <x:c r="D144" t="str">
        <x:v>Functions / Events General Manager</x:v>
      </x:c>
      <x:c r="E144" t="str">
        <x:v>Management—review</x:v>
      </x:c>
      <x:c r="F144" t="str">
        <x:v>Restaurant or Hospitality General / other</x:v>
      </x:c>
      <x:c r="G144" t="str">
        <x:v>No automatic pay level from job title; review award coverage and managerial exclusion.</x:v>
      </x:c>
      <x:c r="H144" t="str">
        <x:v>https://awards.fairwork.gov.au/MA000119.html</x:v>
      </x:c>
    </x:row>
    <x:row r="145" ht="20" customHeight="1">
      <x:c r="A145" t="str">
        <x:v>HC-0144</x:v>
      </x:c>
      <x:c r="B145" t="str">
        <x:v>Banquets weddings and events</x:v>
      </x:c>
      <x:c r="C145" s="24" t="n">
        <x:v>4</x:v>
      </x:c>
      <x:c r="D145" t="str">
        <x:v>Banquet Operations Manager</x:v>
      </x:c>
      <x:c r="E145" t="str">
        <x:v>Management—review</x:v>
      </x:c>
      <x:c r="F145" t="str">
        <x:v>Restaurant or Hospitality General / other</x:v>
      </x:c>
      <x:c r="G145" t="str">
        <x:v>No automatic pay level from job title; review award coverage and managerial exclusion.</x:v>
      </x:c>
      <x:c r="H145" t="str">
        <x:v>https://awards.fairwork.gov.au/MA000119.html</x:v>
      </x:c>
    </x:row>
    <x:row r="146" ht="20" customHeight="1">
      <x:c r="A146" t="str">
        <x:v>HC-0145</x:v>
      </x:c>
      <x:c r="B146" t="str">
        <x:v>Banquets weddings and events</x:v>
      </x:c>
      <x:c r="C146" s="24" t="n">
        <x:v>4</x:v>
      </x:c>
      <x:c r="D146" t="str">
        <x:v>Events Manager</x:v>
      </x:c>
      <x:c r="E146" t="str">
        <x:v>Management—review</x:v>
      </x:c>
      <x:c r="F146" t="str">
        <x:v>Restaurant or Hospitality General / other</x:v>
      </x:c>
      <x:c r="G146" t="str">
        <x:v>No automatic pay level from job title; review award coverage and managerial exclusion.</x:v>
      </x:c>
      <x:c r="H146" t="str">
        <x:v>https://awards.fairwork.gov.au/MA000119.html</x:v>
      </x:c>
    </x:row>
    <x:row r="147" ht="20" customHeight="1">
      <x:c r="A147" t="str">
        <x:v>HC-0146</x:v>
      </x:c>
      <x:c r="B147" t="str">
        <x:v>Banquets weddings and events</x:v>
      </x:c>
      <x:c r="C147" s="24" t="n">
        <x:v>4</x:v>
      </x:c>
      <x:c r="D147" t="str">
        <x:v>Wedding Venue Manager</x:v>
      </x:c>
      <x:c r="E147" t="str">
        <x:v>Management—review</x:v>
      </x:c>
      <x:c r="F147" t="str">
        <x:v>Restaurant or Hospitality General / other</x:v>
      </x:c>
      <x:c r="G147" t="str">
        <x:v>No automatic pay level from job title; review award coverage and managerial exclusion.</x:v>
      </x:c>
      <x:c r="H147" t="str">
        <x:v>https://awards.fairwork.gov.au/MA000119.html</x:v>
      </x:c>
    </x:row>
    <x:row r="148" ht="20" customHeight="1">
      <x:c r="A148" t="str">
        <x:v>HC-0147</x:v>
      </x:c>
      <x:c r="B148" t="str">
        <x:v>Banquets weddings and events</x:v>
      </x:c>
      <x:c r="C148" s="24" t="n">
        <x:v>4</x:v>
      </x:c>
      <x:c r="D148" t="str">
        <x:v>Catering Sales Manager</x:v>
      </x:c>
      <x:c r="E148" t="str">
        <x:v>Management—review</x:v>
      </x:c>
      <x:c r="F148" t="str">
        <x:v>Restaurant or Hospitality General / other</x:v>
      </x:c>
      <x:c r="G148" t="str">
        <x:v>No automatic pay level from job title; review award coverage and managerial exclusion.</x:v>
      </x:c>
      <x:c r="H148" t="str">
        <x:v>https://awards.fairwork.gov.au/MA000119.html</x:v>
      </x:c>
    </x:row>
    <x:row r="149" ht="20" customHeight="1">
      <x:c r="A149" t="str">
        <x:v>HC-0148</x:v>
      </x:c>
      <x:c r="B149" t="str">
        <x:v>Banquets weddings and events</x:v>
      </x:c>
      <x:c r="C149" s="24" t="n">
        <x:v>5</x:v>
      </x:c>
      <x:c r="D149" t="str">
        <x:v>Banquet Supervisor</x:v>
      </x:c>
      <x:c r="E149" t="str">
        <x:v>L5 if supervisor definition met</x:v>
      </x:c>
      <x:c r="F149" t="str">
        <x:v>Restaurant or Hospitality General / other</x:v>
      </x:c>
      <x:c r="G149" t="str">
        <x:v>Indicative only—classification must follow actual duties, coverage and qualifications.</x:v>
      </x:c>
      <x:c r="H149" t="str">
        <x:v>https://awards.fairwork.gov.au/MA000119.html</x:v>
      </x:c>
    </x:row>
    <x:row r="150" ht="20" customHeight="1">
      <x:c r="A150" t="str">
        <x:v>HC-0149</x:v>
      </x:c>
      <x:c r="B150" t="str">
        <x:v>Banquets weddings and events</x:v>
      </x:c>
      <x:c r="C150" s="24" t="n">
        <x:v>5</x:v>
      </x:c>
      <x:c r="D150" t="str">
        <x:v>Banquet Captain</x:v>
      </x:c>
      <x:c r="E150" t="str">
        <x:v>L3–L5 (duties-based)</x:v>
      </x:c>
      <x:c r="F150" t="str">
        <x:v>Restaurant or Hospitality General / other</x:v>
      </x:c>
      <x:c r="G150" t="str">
        <x:v>Indicative only—classification must follow actual duties, coverage and qualifications.</x:v>
      </x:c>
      <x:c r="H150" t="str">
        <x:v>https://awards.fairwork.gov.au/MA000119.html</x:v>
      </x:c>
    </x:row>
    <x:row r="151" ht="20" customHeight="1">
      <x:c r="A151" t="str">
        <x:v>HC-0150</x:v>
      </x:c>
      <x:c r="B151" t="str">
        <x:v>Banquets weddings and events</x:v>
      </x:c>
      <x:c r="C151" s="24" t="n">
        <x:v>5</x:v>
      </x:c>
      <x:c r="D151" t="str">
        <x:v>Function Supervisor</x:v>
      </x:c>
      <x:c r="E151" t="str">
        <x:v>L5 if supervisor definition met</x:v>
      </x:c>
      <x:c r="F151" t="str">
        <x:v>Restaurant or Hospitality General / other</x:v>
      </x:c>
      <x:c r="G151" t="str">
        <x:v>Indicative only—classification must follow actual duties, coverage and qualifications.</x:v>
      </x:c>
      <x:c r="H151" t="str">
        <x:v>https://awards.fairwork.gov.au/MA000119.html</x:v>
      </x:c>
    </x:row>
    <x:row r="152" ht="20" customHeight="1">
      <x:c r="A152" t="str">
        <x:v>HC-0151</x:v>
      </x:c>
      <x:c r="B152" t="str">
        <x:v>Banquets weddings and events</x:v>
      </x:c>
      <x:c r="C152" s="24" t="n">
        <x:v>5</x:v>
      </x:c>
      <x:c r="D152" t="str">
        <x:v>Conference Service Supervisor</x:v>
      </x:c>
      <x:c r="E152" t="str">
        <x:v>L3–L5 (duties-based)</x:v>
      </x:c>
      <x:c r="F152" t="str">
        <x:v>Restaurant or Hospitality General / other</x:v>
      </x:c>
      <x:c r="G152" t="str">
        <x:v>Indicative only—classification must follow actual duties, coverage and qualifications.</x:v>
      </x:c>
      <x:c r="H152" t="str">
        <x:v>https://awards.fairwork.gov.au/MA000119.html</x:v>
      </x:c>
    </x:row>
    <x:row r="153" ht="20" customHeight="1">
      <x:c r="A153" t="str">
        <x:v>HC-0152</x:v>
      </x:c>
      <x:c r="B153" t="str">
        <x:v>Banquets weddings and events</x:v>
      </x:c>
      <x:c r="C153" s="24" t="n">
        <x:v>6</x:v>
      </x:c>
      <x:c r="D153" t="str">
        <x:v>Wedding Coordinator</x:v>
      </x:c>
      <x:c r="E153" t="str">
        <x:v>Clerical / F&amp;B / management—review</x:v>
      </x:c>
      <x:c r="F153" t="str">
        <x:v>Restaurant or Hospitality General / other</x:v>
      </x:c>
      <x:c r="G153" t="str">
        <x:v>No automatic pay level from job title; review award coverage and managerial exclusion.</x:v>
      </x:c>
      <x:c r="H153" t="str">
        <x:v>https://awards.fairwork.gov.au/MA000119.html</x:v>
      </x:c>
    </x:row>
    <x:row r="154" ht="20" customHeight="1">
      <x:c r="A154" t="str">
        <x:v>HC-0153</x:v>
      </x:c>
      <x:c r="B154" t="str">
        <x:v>Banquets weddings and events</x:v>
      </x:c>
      <x:c r="C154" s="24" t="n">
        <x:v>6</x:v>
      </x:c>
      <x:c r="D154" t="str">
        <x:v>Events Coordinator</x:v>
      </x:c>
      <x:c r="E154" t="str">
        <x:v>Clerical / F&amp;B / management—review</x:v>
      </x:c>
      <x:c r="F154" t="str">
        <x:v>Restaurant or Hospitality General / other</x:v>
      </x:c>
      <x:c r="G154" t="str">
        <x:v>No automatic pay level from job title; review award coverage and managerial exclusion.</x:v>
      </x:c>
      <x:c r="H154" t="str">
        <x:v>https://awards.fairwork.gov.au/MA000119.html</x:v>
      </x:c>
    </x:row>
    <x:row r="155" ht="20" customHeight="1">
      <x:c r="A155" t="str">
        <x:v>HC-0154</x:v>
      </x:c>
      <x:c r="B155" t="str">
        <x:v>Banquets weddings and events</x:v>
      </x:c>
      <x:c r="C155" s="24" t="n">
        <x:v>6</x:v>
      </x:c>
      <x:c r="D155" t="str">
        <x:v>Function Coordinator</x:v>
      </x:c>
      <x:c r="E155" t="str">
        <x:v>Clerical / F&amp;B / management—review</x:v>
      </x:c>
      <x:c r="F155" t="str">
        <x:v>Restaurant or Hospitality General / other</x:v>
      </x:c>
      <x:c r="G155" t="str">
        <x:v>No automatic pay level from job title; review award coverage and managerial exclusion.</x:v>
      </x:c>
      <x:c r="H155" t="str">
        <x:v>https://awards.fairwork.gov.au/MA000119.html</x:v>
      </x:c>
    </x:row>
    <x:row r="156" ht="20" customHeight="1">
      <x:c r="A156" t="str">
        <x:v>HC-0155</x:v>
      </x:c>
      <x:c r="B156" t="str">
        <x:v>Banquets weddings and events</x:v>
      </x:c>
      <x:c r="C156" s="24" t="n">
        <x:v>6</x:v>
      </x:c>
      <x:c r="D156" t="str">
        <x:v>Banquet Bartender</x:v>
      </x:c>
      <x:c r="E156" t="str">
        <x:v>L2–L3</x:v>
      </x:c>
      <x:c r="F156" t="str">
        <x:v>Restaurant or Hospitality General / other</x:v>
      </x:c>
      <x:c r="G156" t="str">
        <x:v>Indicative only—classification must follow actual duties, coverage and qualifications.</x:v>
      </x:c>
      <x:c r="H156" t="str">
        <x:v>https://awards.fairwork.gov.au/MA000119.html</x:v>
      </x:c>
    </x:row>
    <x:row r="157" ht="20" customHeight="1">
      <x:c r="A157" t="str">
        <x:v>HC-0156</x:v>
      </x:c>
      <x:c r="B157" t="str">
        <x:v>Banquets weddings and events</x:v>
      </x:c>
      <x:c r="C157" s="24" t="n">
        <x:v>7</x:v>
      </x:c>
      <x:c r="D157" t="str">
        <x:v>Banquet Waiter / Waitress</x:v>
      </x:c>
      <x:c r="E157" t="str">
        <x:v>L2–L3</x:v>
      </x:c>
      <x:c r="F157" t="str">
        <x:v>Restaurant or Hospitality General / other</x:v>
      </x:c>
      <x:c r="G157" t="str">
        <x:v>Indicative only—classification must follow actual duties, coverage and qualifications.</x:v>
      </x:c>
      <x:c r="H157" t="str">
        <x:v>https://awards.fairwork.gov.au/MA000119.html</x:v>
      </x:c>
    </x:row>
    <x:row r="158" ht="20" customHeight="1">
      <x:c r="A158" t="str">
        <x:v>HC-0157</x:v>
      </x:c>
      <x:c r="B158" t="str">
        <x:v>Banquets weddings and events</x:v>
      </x:c>
      <x:c r="C158" s="24" t="n">
        <x:v>7</x:v>
      </x:c>
      <x:c r="D158" t="str">
        <x:v>Banquet Food and Beverage Attendant</x:v>
      </x:c>
      <x:c r="E158" t="str">
        <x:v>L2–L3</x:v>
      </x:c>
      <x:c r="F158" t="str">
        <x:v>Restaurant or Hospitality General / other</x:v>
      </x:c>
      <x:c r="G158" t="str">
        <x:v>Indicative only—classification must follow actual duties, coverage and qualifications.</x:v>
      </x:c>
      <x:c r="H158" t="str">
        <x:v>https://awards.fairwork.gov.au/MA000119.html</x:v>
      </x:c>
    </x:row>
    <x:row r="159" ht="20" customHeight="1">
      <x:c r="A159" t="str">
        <x:v>HC-0158</x:v>
      </x:c>
      <x:c r="B159" t="str">
        <x:v>Banquets weddings and events</x:v>
      </x:c>
      <x:c r="C159" s="24" t="n">
        <x:v>7</x:v>
      </x:c>
      <x:c r="D159" t="str">
        <x:v>Buffet Attendant</x:v>
      </x:c>
      <x:c r="E159" t="str">
        <x:v>L1–L3</x:v>
      </x:c>
      <x:c r="F159" t="str">
        <x:v>Restaurant or Hospitality General / other</x:v>
      </x:c>
      <x:c r="G159" t="str">
        <x:v>Indicative only—classification must follow actual duties, coverage and qualifications.</x:v>
      </x:c>
      <x:c r="H159" t="str">
        <x:v>https://awards.fairwork.gov.au/MA000119.html</x:v>
      </x:c>
    </x:row>
    <x:row r="160" ht="20" customHeight="1">
      <x:c r="A160" t="str">
        <x:v>HC-0159</x:v>
      </x:c>
      <x:c r="B160" t="str">
        <x:v>Banquets weddings and events</x:v>
      </x:c>
      <x:c r="C160" s="24" t="n">
        <x:v>7</x:v>
      </x:c>
      <x:c r="D160" t="str">
        <x:v>Conference Attendant</x:v>
      </x:c>
      <x:c r="E160" t="str">
        <x:v>L1–L3</x:v>
      </x:c>
      <x:c r="F160" t="str">
        <x:v>Restaurant or Hospitality General / other</x:v>
      </x:c>
      <x:c r="G160" t="str">
        <x:v>Indicative only—classification must follow actual duties, coverage and qualifications.</x:v>
      </x:c>
      <x:c r="H160" t="str">
        <x:v>https://awards.fairwork.gov.au/MA000119.html</x:v>
      </x:c>
    </x:row>
    <x:row r="161" ht="20" customHeight="1">
      <x:c r="A161" t="str">
        <x:v>HC-0160</x:v>
      </x:c>
      <x:c r="B161" t="str">
        <x:v>Banquets weddings and events</x:v>
      </x:c>
      <x:c r="C161" s="24" t="n">
        <x:v>7</x:v>
      </x:c>
      <x:c r="D161" t="str">
        <x:v>Cloakroom Attendant</x:v>
      </x:c>
      <x:c r="E161" t="str">
        <x:v>L1–L2</x:v>
      </x:c>
      <x:c r="F161" t="str">
        <x:v>Restaurant or Hospitality General / other</x:v>
      </x:c>
      <x:c r="G161" t="str">
        <x:v>Indicative only—classification must follow actual duties, coverage and qualifications.</x:v>
      </x:c>
      <x:c r="H161" t="str">
        <x:v>https://awards.fairwork.gov.au/MA000119.html</x:v>
      </x:c>
    </x:row>
    <x:row r="162" ht="20" customHeight="1">
      <x:c r="A162" t="str">
        <x:v>HC-0161</x:v>
      </x:c>
      <x:c r="B162" t="str">
        <x:v>Banquets weddings and events</x:v>
      </x:c>
      <x:c r="C162" s="24" t="n">
        <x:v>7</x:v>
      </x:c>
      <x:c r="D162" t="str">
        <x:v>Event Host / Usher</x:v>
      </x:c>
      <x:c r="E162" t="str">
        <x:v>L1–L3 (award review)</x:v>
      </x:c>
      <x:c r="F162" t="str">
        <x:v>Restaurant or Hospitality General / other</x:v>
      </x:c>
      <x:c r="G162" t="str">
        <x:v>No automatic pay level from job title; review award coverage and managerial exclusion.</x:v>
      </x:c>
      <x:c r="H162" t="str">
        <x:v>https://awards.fairwork.gov.au/MA000119.html</x:v>
      </x:c>
    </x:row>
    <x:row r="163" ht="20" customHeight="1">
      <x:c r="A163" t="str">
        <x:v>HC-0162</x:v>
      </x:c>
      <x:c r="B163" t="str">
        <x:v>Banquets weddings and events</x:v>
      </x:c>
      <x:c r="C163" s="24" t="n">
        <x:v>8</x:v>
      </x:c>
      <x:c r="D163" t="str">
        <x:v>Function Setup Crew</x:v>
      </x:c>
      <x:c r="E163" t="str">
        <x:v>L1–L3</x:v>
      </x:c>
      <x:c r="F163" t="str">
        <x:v>Restaurant or Hospitality General / other</x:v>
      </x:c>
      <x:c r="G163" t="str">
        <x:v>Indicative only—classification must follow actual duties, coverage and qualifications.</x:v>
      </x:c>
      <x:c r="H163" t="str">
        <x:v>https://awards.fairwork.gov.au/MA000119.html</x:v>
      </x:c>
    </x:row>
    <x:row r="164" ht="20" customHeight="1">
      <x:c r="A164" t="str">
        <x:v>HC-0163</x:v>
      </x:c>
      <x:c r="B164" t="str">
        <x:v>Banquets weddings and events</x:v>
      </x:c>
      <x:c r="C164" s="24" t="n">
        <x:v>8</x:v>
      </x:c>
      <x:c r="D164" t="str">
        <x:v>Banquet Porter</x:v>
      </x:c>
      <x:c r="E164" t="str">
        <x:v>L1–L3</x:v>
      </x:c>
      <x:c r="F164" t="str">
        <x:v>Restaurant or Hospitality General / other</x:v>
      </x:c>
      <x:c r="G164" t="str">
        <x:v>Indicative only—classification must follow actual duties, coverage and qualifications.</x:v>
      </x:c>
      <x:c r="H164" t="str">
        <x:v>https://awards.fairwork.gov.au/MA000119.html</x:v>
      </x:c>
    </x:row>
    <x:row r="165" ht="20" customHeight="1">
      <x:c r="A165" t="str">
        <x:v>HC-0164</x:v>
      </x:c>
      <x:c r="B165" t="str">
        <x:v>Banquets weddings and events</x:v>
      </x:c>
      <x:c r="C165" s="24" t="n">
        <x:v>8</x:v>
      </x:c>
      <x:c r="D165" t="str">
        <x:v>Table Setup / Packdown Staff</x:v>
      </x:c>
      <x:c r="E165" t="str">
        <x:v>L1–L2</x:v>
      </x:c>
      <x:c r="F165" t="str">
        <x:v>Restaurant or Hospitality General / other</x:v>
      </x:c>
      <x:c r="G165" t="str">
        <x:v>Indicative only—classification must follow actual duties, coverage and qualifications.</x:v>
      </x:c>
      <x:c r="H165" t="str">
        <x:v>https://awards.fairwork.gov.au/MA000119.html</x:v>
      </x:c>
    </x:row>
    <x:row r="166" ht="20" customHeight="1">
      <x:c r="A166" t="str">
        <x:v>HC-0165</x:v>
      </x:c>
      <x:c r="B166" t="str">
        <x:v>Banquets weddings and events</x:v>
      </x:c>
      <x:c r="C166" s="24" t="n">
        <x:v>8</x:v>
      </x:c>
      <x:c r="D166" t="str">
        <x:v>Casual Event Crew</x:v>
      </x:c>
      <x:c r="E166" t="str">
        <x:v>Determine tasks &amp; coverage</x:v>
      </x:c>
      <x:c r="F166" t="str">
        <x:v>Restaurant or Hospitality General / other</x:v>
      </x:c>
      <x:c r="G166" t="str">
        <x:v>Indicative only—classification must follow actual duties, coverage and qualifications.</x:v>
      </x:c>
      <x:c r="H166" t="str">
        <x:v>https://awards.fairwork.gov.au/MA000119.html</x:v>
      </x:c>
    </x:row>
    <x:row r="167" ht="20" customHeight="1">
      <x:c r="A167" t="str">
        <x:v>HC-0166</x:v>
      </x:c>
      <x:c r="B167" t="str">
        <x:v>Banquets weddings and events</x:v>
      </x:c>
      <x:c r="C167" s="24" t="n">
        <x:v>7</x:v>
      </x:c>
      <x:c r="D167" t="str">
        <x:v>Audio-Visual Event Technician</x:v>
      </x:c>
      <x:c r="E167" t="str">
        <x:v>Other award / review</x:v>
      </x:c>
      <x:c r="F167" t="str">
        <x:v>Restaurant or Hospitality General / other</x:v>
      </x:c>
      <x:c r="G167" t="str">
        <x:v>No automatic pay level from job title; review award coverage and managerial exclusion.</x:v>
      </x:c>
      <x:c r="H167" t="str">
        <x:v>https://awards.fairwork.gov.au/MA000119.html</x:v>
      </x:c>
    </x:row>
    <x:row r="168" ht="20" customHeight="1">
      <x:c r="A168" t="str">
        <x:v>HC-0167</x:v>
      </x:c>
      <x:c r="B168" t="str">
        <x:v>Catering production and delivery</x:v>
      </x:c>
      <x:c r="C168" s="24" t="n">
        <x:v>3</x:v>
      </x:c>
      <x:c r="D168" t="str">
        <x:v>Catering General Manager</x:v>
      </x:c>
      <x:c r="E168" t="str">
        <x:v>Management—review</x:v>
      </x:c>
      <x:c r="F168" t="str">
        <x:v>Restaurant or Hospitality General / other</x:v>
      </x:c>
      <x:c r="G168" t="str">
        <x:v>No automatic pay level from job title; review award coverage and managerial exclusion.</x:v>
      </x:c>
      <x:c r="H168" t="str">
        <x:v>https://awards.fairwork.gov.au/MA000119.html</x:v>
      </x:c>
    </x:row>
    <x:row r="169" ht="20" customHeight="1">
      <x:c r="A169" t="str">
        <x:v>HC-0168</x:v>
      </x:c>
      <x:c r="B169" t="str">
        <x:v>Catering production and delivery</x:v>
      </x:c>
      <x:c r="C169" s="24" t="n">
        <x:v>4</x:v>
      </x:c>
      <x:c r="D169" t="str">
        <x:v>Catering Operations Manager</x:v>
      </x:c>
      <x:c r="E169" t="str">
        <x:v>Management—review</x:v>
      </x:c>
      <x:c r="F169" t="str">
        <x:v>Restaurant or Hospitality General / other</x:v>
      </x:c>
      <x:c r="G169" t="str">
        <x:v>No automatic pay level from job title; review award coverage and managerial exclusion.</x:v>
      </x:c>
      <x:c r="H169" t="str">
        <x:v>https://awards.fairwork.gov.au/MA000119.html</x:v>
      </x:c>
    </x:row>
    <x:row r="170" ht="20" customHeight="1">
      <x:c r="A170" t="str">
        <x:v>HC-0169</x:v>
      </x:c>
      <x:c r="B170" t="str">
        <x:v>Catering production and delivery</x:v>
      </x:c>
      <x:c r="C170" s="24" t="n">
        <x:v>4</x:v>
      </x:c>
      <x:c r="D170" t="str">
        <x:v>Catering Production Manager</x:v>
      </x:c>
      <x:c r="E170" t="str">
        <x:v>Management—review</x:v>
      </x:c>
      <x:c r="F170" t="str">
        <x:v>Restaurant or Hospitality General / other</x:v>
      </x:c>
      <x:c r="G170" t="str">
        <x:v>No automatic pay level from job title; review award coverage and managerial exclusion.</x:v>
      </x:c>
      <x:c r="H170" t="str">
        <x:v>https://awards.fairwork.gov.au/MA000119.html</x:v>
      </x:c>
    </x:row>
    <x:row r="171" ht="20" customHeight="1">
      <x:c r="A171" t="str">
        <x:v>HC-0170</x:v>
      </x:c>
      <x:c r="B171" t="str">
        <x:v>Catering production and delivery</x:v>
      </x:c>
      <x:c r="C171" s="24" t="n">
        <x:v>4</x:v>
      </x:c>
      <x:c r="D171" t="str">
        <x:v>Offsite Catering Manager</x:v>
      </x:c>
      <x:c r="E171" t="str">
        <x:v>Management—review</x:v>
      </x:c>
      <x:c r="F171" t="str">
        <x:v>Restaurant or Hospitality General / other</x:v>
      </x:c>
      <x:c r="G171" t="str">
        <x:v>No automatic pay level from job title; review award coverage and managerial exclusion.</x:v>
      </x:c>
      <x:c r="H171" t="str">
        <x:v>https://awards.fairwork.gov.au/MA000119.html</x:v>
      </x:c>
    </x:row>
    <x:row r="172" ht="20" customHeight="1">
      <x:c r="A172" t="str">
        <x:v>HC-0171</x:v>
      </x:c>
      <x:c r="B172" t="str">
        <x:v>Catering production and delivery</x:v>
      </x:c>
      <x:c r="C172" s="24" t="n">
        <x:v>5</x:v>
      </x:c>
      <x:c r="D172" t="str">
        <x:v>Catering Supervisor</x:v>
      </x:c>
      <x:c r="E172" t="str">
        <x:v>L5 if supervisor definition met</x:v>
      </x:c>
      <x:c r="F172" t="str">
        <x:v>Restaurant or Hospitality General / other</x:v>
      </x:c>
      <x:c r="G172" t="str">
        <x:v>Indicative only—classification must follow actual duties, coverage and qualifications.</x:v>
      </x:c>
      <x:c r="H172" t="str">
        <x:v>https://awards.fairwork.gov.au/MA000119.html</x:v>
      </x:c>
    </x:row>
    <x:row r="173" ht="20" customHeight="1">
      <x:c r="A173" t="str">
        <x:v>HC-0172</x:v>
      </x:c>
      <x:c r="B173" t="str">
        <x:v>Catering production and delivery</x:v>
      </x:c>
      <x:c r="C173" s="24" t="n">
        <x:v>5</x:v>
      </x:c>
      <x:c r="D173" t="str">
        <x:v>Catering Kitchen Supervisor</x:v>
      </x:c>
      <x:c r="E173" t="str">
        <x:v>Kitchen L5–L6</x:v>
      </x:c>
      <x:c r="F173" t="str">
        <x:v>Restaurant or Hospitality General / other</x:v>
      </x:c>
      <x:c r="G173" t="str">
        <x:v>Indicative only—classification must follow actual duties, coverage and qualifications.</x:v>
      </x:c>
      <x:c r="H173" t="str">
        <x:v>https://awards.fairwork.gov.au/MA000119.html</x:v>
      </x:c>
    </x:row>
    <x:row r="174" ht="20" customHeight="1">
      <x:c r="A174" t="str">
        <x:v>HC-0173</x:v>
      </x:c>
      <x:c r="B174" t="str">
        <x:v>Catering production and delivery</x:v>
      </x:c>
      <x:c r="C174" s="24" t="n">
        <x:v>6</x:v>
      </x:c>
      <x:c r="D174" t="str">
        <x:v>Production Chef</x:v>
      </x:c>
      <x:c r="E174" t="str">
        <x:v>L4–L6 (duties-based)</x:v>
      </x:c>
      <x:c r="F174" t="str">
        <x:v>Restaurant or Hospitality General / other</x:v>
      </x:c>
      <x:c r="G174" t="str">
        <x:v>Indicative only—classification must follow actual duties, coverage and qualifications.</x:v>
      </x:c>
      <x:c r="H174" t="str">
        <x:v>https://awards.fairwork.gov.au/MA000119.html</x:v>
      </x:c>
    </x:row>
    <x:row r="175" ht="20" customHeight="1">
      <x:c r="A175" t="str">
        <x:v>HC-0174</x:v>
      </x:c>
      <x:c r="B175" t="str">
        <x:v>Catering production and delivery</x:v>
      </x:c>
      <x:c r="C175" s="24" t="n">
        <x:v>6</x:v>
      </x:c>
      <x:c r="D175" t="str">
        <x:v>Catering Cook</x:v>
      </x:c>
      <x:c r="E175" t="str">
        <x:v>L2–L6 (duties-based)</x:v>
      </x:c>
      <x:c r="F175" t="str">
        <x:v>Restaurant or Hospitality General / other</x:v>
      </x:c>
      <x:c r="G175" t="str">
        <x:v>Indicative only—classification must follow actual duties, coverage and qualifications.</x:v>
      </x:c>
      <x:c r="H175" t="str">
        <x:v>https://awards.fairwork.gov.au/MA000119.html</x:v>
      </x:c>
    </x:row>
    <x:row r="176" ht="20" customHeight="1">
      <x:c r="A176" t="str">
        <x:v>HC-0175</x:v>
      </x:c>
      <x:c r="B176" t="str">
        <x:v>Catering production and delivery</x:v>
      </x:c>
      <x:c r="C176" s="24" t="n">
        <x:v>6</x:v>
      </x:c>
      <x:c r="D176" t="str">
        <x:v>Catering Logistics Coordinator</x:v>
      </x:c>
      <x:c r="E176" t="str">
        <x:v>Clerical / stores—review</x:v>
      </x:c>
      <x:c r="F176" t="str">
        <x:v>Restaurant or Hospitality General / other</x:v>
      </x:c>
      <x:c r="G176" t="str">
        <x:v>No automatic pay level from job title; review award coverage and managerial exclusion.</x:v>
      </x:c>
      <x:c r="H176" t="str">
        <x:v>https://awards.fairwork.gov.au/MA000119.html</x:v>
      </x:c>
    </x:row>
    <x:row r="177" ht="20" customHeight="1">
      <x:c r="A177" t="str">
        <x:v>HC-0176</x:v>
      </x:c>
      <x:c r="B177" t="str">
        <x:v>Catering production and delivery</x:v>
      </x:c>
      <x:c r="C177" s="24" t="n">
        <x:v>7</x:v>
      </x:c>
      <x:c r="D177" t="str">
        <x:v>Catering Assistant</x:v>
      </x:c>
      <x:c r="E177" t="str">
        <x:v>L1–L3</x:v>
      </x:c>
      <x:c r="F177" t="str">
        <x:v>Restaurant or Hospitality General / other</x:v>
      </x:c>
      <x:c r="G177" t="str">
        <x:v>Indicative only—classification must follow actual duties, coverage and qualifications.</x:v>
      </x:c>
      <x:c r="H177" t="str">
        <x:v>https://awards.fairwork.gov.au/MA000119.html</x:v>
      </x:c>
    </x:row>
    <x:row r="178" ht="20" customHeight="1">
      <x:c r="A178" t="str">
        <x:v>HC-0177</x:v>
      </x:c>
      <x:c r="B178" t="str">
        <x:v>Catering production and delivery</x:v>
      </x:c>
      <x:c r="C178" s="24" t="n">
        <x:v>7</x:v>
      </x:c>
      <x:c r="D178" t="str">
        <x:v>Catering Delivery Driver</x:v>
      </x:c>
      <x:c r="E178" t="str">
        <x:v>Award/duties review</x:v>
      </x:c>
      <x:c r="F178" t="str">
        <x:v>Restaurant or Hospitality General / other</x:v>
      </x:c>
      <x:c r="G178" t="str">
        <x:v>No automatic pay level from job title; review award coverage and managerial exclusion.</x:v>
      </x:c>
      <x:c r="H178" t="str">
        <x:v>https://awards.fairwork.gov.au/MA000119.html</x:v>
      </x:c>
    </x:row>
    <x:row r="179" ht="20" customHeight="1">
      <x:c r="A179" t="str">
        <x:v>HC-0178</x:v>
      </x:c>
      <x:c r="B179" t="str">
        <x:v>Catering production and delivery</x:v>
      </x:c>
      <x:c r="C179" s="24" t="n">
        <x:v>7</x:v>
      </x:c>
      <x:c r="D179" t="str">
        <x:v>Mobile Catering Attendant</x:v>
      </x:c>
      <x:c r="E179" t="str">
        <x:v>L1–L3</x:v>
      </x:c>
      <x:c r="F179" t="str">
        <x:v>Restaurant or Hospitality General / other</x:v>
      </x:c>
      <x:c r="G179" t="str">
        <x:v>Indicative only—classification must follow actual duties, coverage and qualifications.</x:v>
      </x:c>
      <x:c r="H179" t="str">
        <x:v>https://awards.fairwork.gov.au/MA000119.html</x:v>
      </x:c>
    </x:row>
    <x:row r="180" ht="20" customHeight="1">
      <x:c r="A180" t="str">
        <x:v>HC-0179</x:v>
      </x:c>
      <x:c r="B180" t="str">
        <x:v>Catering production and delivery</x:v>
      </x:c>
      <x:c r="C180" s="24" t="n">
        <x:v>8</x:v>
      </x:c>
      <x:c r="D180" t="str">
        <x:v>Catering Setup Crew</x:v>
      </x:c>
      <x:c r="E180" t="str">
        <x:v>L1–L2</x:v>
      </x:c>
      <x:c r="F180" t="str">
        <x:v>Restaurant or Hospitality General / other</x:v>
      </x:c>
      <x:c r="G180" t="str">
        <x:v>Indicative only—classification must follow actual duties, coverage and qualifications.</x:v>
      </x:c>
      <x:c r="H180" t="str">
        <x:v>https://awards.fairwork.gov.au/MA000119.html</x:v>
      </x:c>
    </x:row>
    <x:row r="181" ht="20" customHeight="1">
      <x:c r="A181" t="str">
        <x:v>HC-0180</x:v>
      </x:c>
      <x:c r="B181" t="str">
        <x:v>Catering production and delivery</x:v>
      </x:c>
      <x:c r="C181" s="24" t="n">
        <x:v>8</x:v>
      </x:c>
      <x:c r="D181" t="str">
        <x:v>Catering Packdown Crew</x:v>
      </x:c>
      <x:c r="E181" t="str">
        <x:v>L1–L2</x:v>
      </x:c>
      <x:c r="F181" t="str">
        <x:v>Restaurant or Hospitality General / other</x:v>
      </x:c>
      <x:c r="G181" t="str">
        <x:v>Indicative only—classification must follow actual duties, coverage and qualifications.</x:v>
      </x:c>
      <x:c r="H181" t="str">
        <x:v>https://awards.fairwork.gov.au/MA000119.html</x:v>
      </x:c>
    </x:row>
    <x:row r="182" ht="20" customHeight="1">
      <x:c r="A182" t="str">
        <x:v>HC-0181</x:v>
      </x:c>
      <x:c r="B182" t="str">
        <x:v>Hotel front office and guest relations</x:v>
      </x:c>
      <x:c r="C182" s="24" t="n">
        <x:v>2</x:v>
      </x:c>
      <x:c r="D182" t="str">
        <x:v>Rooms Division Director</x:v>
      </x:c>
      <x:c r="E182" t="str">
        <x:v>Management—review</x:v>
      </x:c>
      <x:c r="F182" t="str">
        <x:v>Hospitality General (MA000009)</x:v>
      </x:c>
      <x:c r="G182" t="str">
        <x:v>No automatic pay level from job title; review award coverage and managerial exclusion.</x:v>
      </x:c>
      <x:c r="H182" t="str">
        <x:v>https://awards.fairwork.gov.au/MA000009.html</x:v>
      </x:c>
    </x:row>
    <x:row r="183" ht="20" customHeight="1">
      <x:c r="A183" t="str">
        <x:v>HC-0182</x:v>
      </x:c>
      <x:c r="B183" t="str">
        <x:v>Hotel front office and guest relations</x:v>
      </x:c>
      <x:c r="C183" s="24" t="n">
        <x:v>3</x:v>
      </x:c>
      <x:c r="D183" t="str">
        <x:v>Hotel General Manager</x:v>
      </x:c>
      <x:c r="E183" t="str">
        <x:v>Hotel managerial or senior—review</x:v>
      </x:c>
      <x:c r="F183" t="str">
        <x:v>Hospitality General (MA000009)</x:v>
      </x:c>
      <x:c r="G183" t="str">
        <x:v>No automatic pay level from job title; review award coverage and managerial exclusion.</x:v>
      </x:c>
      <x:c r="H183" t="str">
        <x:v>https://awards.fairwork.gov.au/MA000009.html</x:v>
      </x:c>
    </x:row>
    <x:row r="184" ht="20" customHeight="1">
      <x:c r="A184" t="str">
        <x:v>HC-0183</x:v>
      </x:c>
      <x:c r="B184" t="str">
        <x:v>Hotel front office and guest relations</x:v>
      </x:c>
      <x:c r="C184" s="24" t="n">
        <x:v>4</x:v>
      </x:c>
      <x:c r="D184" t="str">
        <x:v>Front Office Manager</x:v>
      </x:c>
      <x:c r="E184" t="str">
        <x:v>Hotel managerial or L5—review</x:v>
      </x:c>
      <x:c r="F184" t="str">
        <x:v>Hospitality General (MA000009)</x:v>
      </x:c>
      <x:c r="G184" t="str">
        <x:v>No automatic pay level from job title; review award coverage and managerial exclusion.</x:v>
      </x:c>
      <x:c r="H184" t="str">
        <x:v>https://awards.fairwork.gov.au/MA000009.html</x:v>
      </x:c>
    </x:row>
    <x:row r="185" ht="20" customHeight="1">
      <x:c r="A185" t="str">
        <x:v>HC-0184</x:v>
      </x:c>
      <x:c r="B185" t="str">
        <x:v>Hotel front office and guest relations</x:v>
      </x:c>
      <x:c r="C185" s="24" t="n">
        <x:v>4</x:v>
      </x:c>
      <x:c r="D185" t="str">
        <x:v>Guest Experience Manager</x:v>
      </x:c>
      <x:c r="E185" t="str">
        <x:v>Hotel managerial or L5—review</x:v>
      </x:c>
      <x:c r="F185" t="str">
        <x:v>Hospitality General (MA000009)</x:v>
      </x:c>
      <x:c r="G185" t="str">
        <x:v>No automatic pay level from job title; review award coverage and managerial exclusion.</x:v>
      </x:c>
      <x:c r="H185" t="str">
        <x:v>https://awards.fairwork.gov.au/MA000009.html</x:v>
      </x:c>
    </x:row>
    <x:row r="186" ht="20" customHeight="1">
      <x:c r="A186" t="str">
        <x:v>HC-0185</x:v>
      </x:c>
      <x:c r="B186" t="str">
        <x:v>Hotel front office and guest relations</x:v>
      </x:c>
      <x:c r="C186" s="24" t="n">
        <x:v>4</x:v>
      </x:c>
      <x:c r="D186" t="str">
        <x:v>Reservations Manager</x:v>
      </x:c>
      <x:c r="E186" t="str">
        <x:v>Hotel managerial or L5—review</x:v>
      </x:c>
      <x:c r="F186" t="str">
        <x:v>Hospitality General (MA000009)</x:v>
      </x:c>
      <x:c r="G186" t="str">
        <x:v>No automatic pay level from job title; review award coverage and managerial exclusion.</x:v>
      </x:c>
      <x:c r="H186" t="str">
        <x:v>https://awards.fairwork.gov.au/MA000009.html</x:v>
      </x:c>
    </x:row>
    <x:row r="187" ht="20" customHeight="1">
      <x:c r="A187" t="str">
        <x:v>HC-0186</x:v>
      </x:c>
      <x:c r="B187" t="str">
        <x:v>Hotel front office and guest relations</x:v>
      </x:c>
      <x:c r="C187" s="24" t="n">
        <x:v>4</x:v>
      </x:c>
      <x:c r="D187" t="str">
        <x:v>Revenue Manager</x:v>
      </x:c>
      <x:c r="E187" t="str">
        <x:v>Management/professional—review</x:v>
      </x:c>
      <x:c r="F187" t="str">
        <x:v>Hospitality General (MA000009)</x:v>
      </x:c>
      <x:c r="G187" t="str">
        <x:v>No automatic pay level from job title; review award coverage and managerial exclusion.</x:v>
      </x:c>
      <x:c r="H187" t="str">
        <x:v>https://awards.fairwork.gov.au/MA000009.html</x:v>
      </x:c>
    </x:row>
    <x:row r="188" ht="20" customHeight="1">
      <x:c r="A188" t="str">
        <x:v>HC-0187</x:v>
      </x:c>
      <x:c r="B188" t="str">
        <x:v>Hotel front office and guest relations</x:v>
      </x:c>
      <x:c r="C188" s="24" t="n">
        <x:v>5</x:v>
      </x:c>
      <x:c r="D188" t="str">
        <x:v>Front Office Supervisor</x:v>
      </x:c>
      <x:c r="E188" t="str">
        <x:v>L5</x:v>
      </x:c>
      <x:c r="F188" t="str">
        <x:v>Hospitality General (MA000009)</x:v>
      </x:c>
      <x:c r="G188" t="str">
        <x:v>Indicative only—classification must follow actual duties, coverage and qualifications.</x:v>
      </x:c>
      <x:c r="H188" t="str">
        <x:v>https://awards.fairwork.gov.au/MA000009.html</x:v>
      </x:c>
    </x:row>
    <x:row r="189" ht="20" customHeight="1">
      <x:c r="A189" t="str">
        <x:v>HC-0188</x:v>
      </x:c>
      <x:c r="B189" t="str">
        <x:v>Hotel front office and guest relations</x:v>
      </x:c>
      <x:c r="C189" s="24" t="n">
        <x:v>5</x:v>
      </x:c>
      <x:c r="D189" t="str">
        <x:v>Guest Services Supervisor</x:v>
      </x:c>
      <x:c r="E189" t="str">
        <x:v>L5</x:v>
      </x:c>
      <x:c r="F189" t="str">
        <x:v>Hospitality General (MA000009)</x:v>
      </x:c>
      <x:c r="G189" t="str">
        <x:v>Indicative only—classification must follow actual duties, coverage and qualifications.</x:v>
      </x:c>
      <x:c r="H189" t="str">
        <x:v>https://awards.fairwork.gov.au/MA000009.html</x:v>
      </x:c>
    </x:row>
    <x:row r="190" ht="20" customHeight="1">
      <x:c r="A190" t="str">
        <x:v>HC-0189</x:v>
      </x:c>
      <x:c r="B190" t="str">
        <x:v>Hotel front office and guest relations</x:v>
      </x:c>
      <x:c r="C190" s="24" t="n">
        <x:v>5</x:v>
      </x:c>
      <x:c r="D190" t="str">
        <x:v>Concierge Supervisor</x:v>
      </x:c>
      <x:c r="E190" t="str">
        <x:v>L5 (duties-based)</x:v>
      </x:c>
      <x:c r="F190" t="str">
        <x:v>Hospitality General (MA000009)</x:v>
      </x:c>
      <x:c r="G190" t="str">
        <x:v>Indicative only—classification must follow actual duties, coverage and qualifications.</x:v>
      </x:c>
      <x:c r="H190" t="str">
        <x:v>https://awards.fairwork.gov.au/MA000009.html</x:v>
      </x:c>
    </x:row>
    <x:row r="191" ht="20" customHeight="1">
      <x:c r="A191" t="str">
        <x:v>HC-0190</x:v>
      </x:c>
      <x:c r="B191" t="str">
        <x:v>Hotel front office and guest relations</x:v>
      </x:c>
      <x:c r="C191" s="24" t="n">
        <x:v>5</x:v>
      </x:c>
      <x:c r="D191" t="str">
        <x:v>Night Manager</x:v>
      </x:c>
      <x:c r="E191" t="str">
        <x:v>Hotel managerial or L5—review</x:v>
      </x:c>
      <x:c r="F191" t="str">
        <x:v>Hospitality General (MA000009)</x:v>
      </x:c>
      <x:c r="G191" t="str">
        <x:v>No automatic pay level from job title; review award coverage and managerial exclusion.</x:v>
      </x:c>
      <x:c r="H191" t="str">
        <x:v>https://awards.fairwork.gov.au/MA000009.html</x:v>
      </x:c>
    </x:row>
    <x:row r="192" ht="20" customHeight="1">
      <x:c r="A192" t="str">
        <x:v>HC-0191</x:v>
      </x:c>
      <x:c r="B192" t="str">
        <x:v>Hotel front office and guest relations</x:v>
      </x:c>
      <x:c r="C192" s="24" t="n">
        <x:v>6</x:v>
      </x:c>
      <x:c r="D192" t="str">
        <x:v>Duty Receptionist / Senior Receptionist</x:v>
      </x:c>
      <x:c r="E192" t="str">
        <x:v>Front Office L3–L4</x:v>
      </x:c>
      <x:c r="F192" t="str">
        <x:v>Hospitality General (MA000009)</x:v>
      </x:c>
      <x:c r="G192" t="str">
        <x:v>Indicative only—classification must follow actual duties, coverage and qualifications.</x:v>
      </x:c>
      <x:c r="H192" t="str">
        <x:v>https://awards.fairwork.gov.au/MA000009.html</x:v>
      </x:c>
    </x:row>
    <x:row r="193" ht="20" customHeight="1">
      <x:c r="A193" t="str">
        <x:v>HC-0192</x:v>
      </x:c>
      <x:c r="B193" t="str">
        <x:v>Hotel front office and guest relations</x:v>
      </x:c>
      <x:c r="C193" s="24" t="n">
        <x:v>6</x:v>
      </x:c>
      <x:c r="D193" t="str">
        <x:v>Concierge</x:v>
      </x:c>
      <x:c r="E193" t="str">
        <x:v>Guest service L2–L4</x:v>
      </x:c>
      <x:c r="F193" t="str">
        <x:v>Hospitality General (MA000009)</x:v>
      </x:c>
      <x:c r="G193" t="str">
        <x:v>Indicative only—classification must follow actual duties, coverage and qualifications.</x:v>
      </x:c>
      <x:c r="H193" t="str">
        <x:v>https://awards.fairwork.gov.au/MA000009.html</x:v>
      </x:c>
    </x:row>
    <x:row r="194" ht="20" customHeight="1">
      <x:c r="A194" t="str">
        <x:v>HC-0193</x:v>
      </x:c>
      <x:c r="B194" t="str">
        <x:v>Hotel front office and guest relations</x:v>
      </x:c>
      <x:c r="C194" s="24" t="n">
        <x:v>6</x:v>
      </x:c>
      <x:c r="D194" t="str">
        <x:v>Guest Relations Executive</x:v>
      </x:c>
      <x:c r="E194" t="str">
        <x:v>Guest service L2–L4</x:v>
      </x:c>
      <x:c r="F194" t="str">
        <x:v>Hospitality General (MA000009)</x:v>
      </x:c>
      <x:c r="G194" t="str">
        <x:v>Indicative only—classification must follow actual duties, coverage and qualifications.</x:v>
      </x:c>
      <x:c r="H194" t="str">
        <x:v>https://awards.fairwork.gov.au/MA000009.html</x:v>
      </x:c>
    </x:row>
    <x:row r="195" ht="20" customHeight="1">
      <x:c r="A195" t="str">
        <x:v>HC-0194</x:v>
      </x:c>
      <x:c r="B195" t="str">
        <x:v>Hotel front office and guest relations</x:v>
      </x:c>
      <x:c r="C195" s="24" t="n">
        <x:v>6</x:v>
      </x:c>
      <x:c r="D195" t="str">
        <x:v>Reservations Officer</x:v>
      </x:c>
      <x:c r="E195" t="str">
        <x:v>Front Office L2–L4</x:v>
      </x:c>
      <x:c r="F195" t="str">
        <x:v>Hospitality General (MA000009)</x:v>
      </x:c>
      <x:c r="G195" t="str">
        <x:v>Indicative only—classification must follow actual duties, coverage and qualifications.</x:v>
      </x:c>
      <x:c r="H195" t="str">
        <x:v>https://awards.fairwork.gov.au/MA000009.html</x:v>
      </x:c>
    </x:row>
    <x:row r="196" ht="20" customHeight="1">
      <x:c r="A196" t="str">
        <x:v>HC-0195</x:v>
      </x:c>
      <x:c r="B196" t="str">
        <x:v>Hotel front office and guest relations</x:v>
      </x:c>
      <x:c r="C196" s="24" t="n">
        <x:v>6</x:v>
      </x:c>
      <x:c r="D196" t="str">
        <x:v>Night Auditor</x:v>
      </x:c>
      <x:c r="E196" t="str">
        <x:v>Clerical/front office—review</x:v>
      </x:c>
      <x:c r="F196" t="str">
        <x:v>Hospitality General (MA000009)</x:v>
      </x:c>
      <x:c r="G196" t="str">
        <x:v>No automatic pay level from job title; review award coverage and managerial exclusion.</x:v>
      </x:c>
      <x:c r="H196" t="str">
        <x:v>https://awards.fairwork.gov.au/MA000009.html</x:v>
      </x:c>
    </x:row>
    <x:row r="197" ht="20" customHeight="1">
      <x:c r="A197" t="str">
        <x:v>HC-0196</x:v>
      </x:c>
      <x:c r="B197" t="str">
        <x:v>Hotel front office and guest relations</x:v>
      </x:c>
      <x:c r="C197" s="24" t="n">
        <x:v>7</x:v>
      </x:c>
      <x:c r="D197" t="str">
        <x:v>Receptionist / Front Desk Agent</x:v>
      </x:c>
      <x:c r="E197" t="str">
        <x:v>Front Office L2–L4</x:v>
      </x:c>
      <x:c r="F197" t="str">
        <x:v>Hospitality General (MA000009)</x:v>
      </x:c>
      <x:c r="G197" t="str">
        <x:v>Indicative only—classification must follow actual duties, coverage and qualifications.</x:v>
      </x:c>
      <x:c r="H197" t="str">
        <x:v>https://awards.fairwork.gov.au/MA000009.html</x:v>
      </x:c>
    </x:row>
    <x:row r="198" ht="20" customHeight="1">
      <x:c r="A198" t="str">
        <x:v>HC-0197</x:v>
      </x:c>
      <x:c r="B198" t="str">
        <x:v>Hotel front office and guest relations</x:v>
      </x:c>
      <x:c r="C198" s="24" t="n">
        <x:v>7</x:v>
      </x:c>
      <x:c r="D198" t="str">
        <x:v>Guest Service Agent</x:v>
      </x:c>
      <x:c r="E198" t="str">
        <x:v>Guest service L1–L4</x:v>
      </x:c>
      <x:c r="F198" t="str">
        <x:v>Hospitality General (MA000009)</x:v>
      </x:c>
      <x:c r="G198" t="str">
        <x:v>Indicative only—classification must follow actual duties, coverage and qualifications.</x:v>
      </x:c>
      <x:c r="H198" t="str">
        <x:v>https://awards.fairwork.gov.au/MA000009.html</x:v>
      </x:c>
    </x:row>
    <x:row r="199" ht="20" customHeight="1">
      <x:c r="A199" t="str">
        <x:v>HC-0198</x:v>
      </x:c>
      <x:c r="B199" t="str">
        <x:v>Hotel front office and guest relations</x:v>
      </x:c>
      <x:c r="C199" s="24" t="n">
        <x:v>7</x:v>
      </x:c>
      <x:c r="D199" t="str">
        <x:v>Telephone / Switchboard Operator</x:v>
      </x:c>
      <x:c r="E199" t="str">
        <x:v>Front Office / clerical—review</x:v>
      </x:c>
      <x:c r="F199" t="str">
        <x:v>Hospitality General (MA000009)</x:v>
      </x:c>
      <x:c r="G199" t="str">
        <x:v>No automatic pay level from job title; review award coverage and managerial exclusion.</x:v>
      </x:c>
      <x:c r="H199" t="str">
        <x:v>https://awards.fairwork.gov.au/MA000009.html</x:v>
      </x:c>
    </x:row>
    <x:row r="200" ht="20" customHeight="1">
      <x:c r="A200" t="str">
        <x:v>HC-0199</x:v>
      </x:c>
      <x:c r="B200" t="str">
        <x:v>Hotel front office and guest relations</x:v>
      </x:c>
      <x:c r="C200" s="24" t="n">
        <x:v>7</x:v>
      </x:c>
      <x:c r="D200" t="str">
        <x:v>Porter / Bell Attendant</x:v>
      </x:c>
      <x:c r="E200" t="str">
        <x:v>Guest service L1–L3</x:v>
      </x:c>
      <x:c r="F200" t="str">
        <x:v>Hospitality General (MA000009)</x:v>
      </x:c>
      <x:c r="G200" t="str">
        <x:v>Indicative only—classification must follow actual duties, coverage and qualifications.</x:v>
      </x:c>
      <x:c r="H200" t="str">
        <x:v>https://awards.fairwork.gov.au/MA000009.html</x:v>
      </x:c>
    </x:row>
    <x:row r="201" ht="20" customHeight="1">
      <x:c r="A201" t="str">
        <x:v>HC-0200</x:v>
      </x:c>
      <x:c r="B201" t="str">
        <x:v>Hotel front office and guest relations</x:v>
      </x:c>
      <x:c r="C201" s="24" t="n">
        <x:v>7</x:v>
      </x:c>
      <x:c r="D201" t="str">
        <x:v>Door Attendant</x:v>
      </x:c>
      <x:c r="E201" t="str">
        <x:v>Guest service L1–L3</x:v>
      </x:c>
      <x:c r="F201" t="str">
        <x:v>Hospitality General (MA000009)</x:v>
      </x:c>
      <x:c r="G201" t="str">
        <x:v>Indicative only—classification must follow actual duties, coverage and qualifications.</x:v>
      </x:c>
      <x:c r="H201" t="str">
        <x:v>https://awards.fairwork.gov.au/MA000009.html</x:v>
      </x:c>
    </x:row>
    <x:row r="202" ht="20" customHeight="1">
      <x:c r="A202" t="str">
        <x:v>HC-0201</x:v>
      </x:c>
      <x:c r="B202" t="str">
        <x:v>Hotel front office and guest relations</x:v>
      </x:c>
      <x:c r="C202" s="24" t="n">
        <x:v>7</x:v>
      </x:c>
      <x:c r="D202" t="str">
        <x:v>Valet Parking Attendant</x:v>
      </x:c>
      <x:c r="E202" t="str">
        <x:v>Guest service / other—review</x:v>
      </x:c>
      <x:c r="F202" t="str">
        <x:v>Hospitality General (MA000009)</x:v>
      </x:c>
      <x:c r="G202" t="str">
        <x:v>No automatic pay level from job title; review award coverage and managerial exclusion.</x:v>
      </x:c>
      <x:c r="H202" t="str">
        <x:v>https://awards.fairwork.gov.au/MA000009.html</x:v>
      </x:c>
    </x:row>
    <x:row r="203" ht="20" customHeight="1">
      <x:c r="A203" t="str">
        <x:v>HC-0202</x:v>
      </x:c>
      <x:c r="B203" t="str">
        <x:v>Hotel front office and guest relations</x:v>
      </x:c>
      <x:c r="C203" s="24" t="n">
        <x:v>8</x:v>
      </x:c>
      <x:c r="D203" t="str">
        <x:v>Luggage Attendant</x:v>
      </x:c>
      <x:c r="E203" t="str">
        <x:v>Guest service L1–L3</x:v>
      </x:c>
      <x:c r="F203" t="str">
        <x:v>Hospitality General (MA000009)</x:v>
      </x:c>
      <x:c r="G203" t="str">
        <x:v>Indicative only—classification must follow actual duties, coverage and qualifications.</x:v>
      </x:c>
      <x:c r="H203" t="str">
        <x:v>https://awards.fairwork.gov.au/MA000009.html</x:v>
      </x:c>
    </x:row>
    <x:row r="204" ht="20" customHeight="1">
      <x:c r="A204" t="str">
        <x:v>HC-0203</x:v>
      </x:c>
      <x:c r="B204" t="str">
        <x:v>Hotel housekeeping and accommodation</x:v>
      </x:c>
      <x:c r="C204" s="24" t="n">
        <x:v>3</x:v>
      </x:c>
      <x:c r="D204" t="str">
        <x:v>Director of Housekeeping</x:v>
      </x:c>
      <x:c r="E204" t="str">
        <x:v>Management—review</x:v>
      </x:c>
      <x:c r="F204" t="str">
        <x:v>Hospitality General (MA000009)</x:v>
      </x:c>
      <x:c r="G204" t="str">
        <x:v>No automatic pay level from job title; review award coverage and managerial exclusion.</x:v>
      </x:c>
      <x:c r="H204" t="str">
        <x:v>https://awards.fairwork.gov.au/MA000009.html</x:v>
      </x:c>
    </x:row>
    <x:row r="205" ht="20" customHeight="1">
      <x:c r="A205" t="str">
        <x:v>HC-0204</x:v>
      </x:c>
      <x:c r="B205" t="str">
        <x:v>Hotel housekeeping and accommodation</x:v>
      </x:c>
      <x:c r="C205" s="24" t="n">
        <x:v>4</x:v>
      </x:c>
      <x:c r="D205" t="str">
        <x:v>Executive Housekeeper</x:v>
      </x:c>
      <x:c r="E205" t="str">
        <x:v>Management / guest service L5—review</x:v>
      </x:c>
      <x:c r="F205" t="str">
        <x:v>Hospitality General (MA000009)</x:v>
      </x:c>
      <x:c r="G205" t="str">
        <x:v>No automatic pay level from job title; review award coverage and managerial exclusion.</x:v>
      </x:c>
      <x:c r="H205" t="str">
        <x:v>https://awards.fairwork.gov.au/MA000009.html</x:v>
      </x:c>
    </x:row>
    <x:row r="206" ht="20" customHeight="1">
      <x:c r="A206" t="str">
        <x:v>HC-0205</x:v>
      </x:c>
      <x:c r="B206" t="str">
        <x:v>Hotel housekeeping and accommodation</x:v>
      </x:c>
      <x:c r="C206" s="24" t="n">
        <x:v>4</x:v>
      </x:c>
      <x:c r="D206" t="str">
        <x:v>Housekeeping Manager</x:v>
      </x:c>
      <x:c r="E206" t="str">
        <x:v>Management—review</x:v>
      </x:c>
      <x:c r="F206" t="str">
        <x:v>Hospitality General (MA000009)</x:v>
      </x:c>
      <x:c r="G206" t="str">
        <x:v>No automatic pay level from job title; review award coverage and managerial exclusion.</x:v>
      </x:c>
      <x:c r="H206" t="str">
        <x:v>https://awards.fairwork.gov.au/MA000009.html</x:v>
      </x:c>
    </x:row>
    <x:row r="207" ht="20" customHeight="1">
      <x:c r="A207" t="str">
        <x:v>HC-0206</x:v>
      </x:c>
      <x:c r="B207" t="str">
        <x:v>Hotel housekeeping and accommodation</x:v>
      </x:c>
      <x:c r="C207" s="24" t="n">
        <x:v>5</x:v>
      </x:c>
      <x:c r="D207" t="str">
        <x:v>Housekeeping Supervisor</x:v>
      </x:c>
      <x:c r="E207" t="str">
        <x:v>Guest service L5 if qualified</x:v>
      </x:c>
      <x:c r="F207" t="str">
        <x:v>Hospitality General (MA000009)</x:v>
      </x:c>
      <x:c r="G207" t="str">
        <x:v>Indicative only—classification must follow actual duties, coverage and qualifications.</x:v>
      </x:c>
      <x:c r="H207" t="str">
        <x:v>https://awards.fairwork.gov.au/MA000009.html</x:v>
      </x:c>
    </x:row>
    <x:row r="208" ht="20" customHeight="1">
      <x:c r="A208" t="str">
        <x:v>HC-0207</x:v>
      </x:c>
      <x:c r="B208" t="str">
        <x:v>Hotel housekeeping and accommodation</x:v>
      </x:c>
      <x:c r="C208" s="24" t="n">
        <x:v>5</x:v>
      </x:c>
      <x:c r="D208" t="str">
        <x:v>Public Area Supervisor</x:v>
      </x:c>
      <x:c r="E208" t="str">
        <x:v>L5 if supervisor definition met</x:v>
      </x:c>
      <x:c r="F208" t="str">
        <x:v>Hospitality General (MA000009)</x:v>
      </x:c>
      <x:c r="G208" t="str">
        <x:v>Indicative only—classification must follow actual duties, coverage and qualifications.</x:v>
      </x:c>
      <x:c r="H208" t="str">
        <x:v>https://awards.fairwork.gov.au/MA000009.html</x:v>
      </x:c>
    </x:row>
    <x:row r="209" ht="20" customHeight="1">
      <x:c r="A209" t="str">
        <x:v>HC-0208</x:v>
      </x:c>
      <x:c r="B209" t="str">
        <x:v>Hotel housekeeping and accommodation</x:v>
      </x:c>
      <x:c r="C209" s="24" t="n">
        <x:v>5</x:v>
      </x:c>
      <x:c r="D209" t="str">
        <x:v>Laundry Supervisor</x:v>
      </x:c>
      <x:c r="E209" t="str">
        <x:v>L5 if supervisor definition met</x:v>
      </x:c>
      <x:c r="F209" t="str">
        <x:v>Hospitality General (MA000009)</x:v>
      </x:c>
      <x:c r="G209" t="str">
        <x:v>Indicative only—classification must follow actual duties, coverage and qualifications.</x:v>
      </x:c>
      <x:c r="H209" t="str">
        <x:v>https://awards.fairwork.gov.au/MA000009.html</x:v>
      </x:c>
    </x:row>
    <x:row r="210" ht="20" customHeight="1">
      <x:c r="A210" t="str">
        <x:v>HC-0209</x:v>
      </x:c>
      <x:c r="B210" t="str">
        <x:v>Hotel housekeeping and accommodation</x:v>
      </x:c>
      <x:c r="C210" s="24" t="n">
        <x:v>6</x:v>
      </x:c>
      <x:c r="D210" t="str">
        <x:v>Senior Room Attendant</x:v>
      </x:c>
      <x:c r="E210" t="str">
        <x:v>Guest service L2–L4</x:v>
      </x:c>
      <x:c r="F210" t="str">
        <x:v>Hospitality General (MA000009)</x:v>
      </x:c>
      <x:c r="G210" t="str">
        <x:v>Indicative only—classification must follow actual duties, coverage and qualifications.</x:v>
      </x:c>
      <x:c r="H210" t="str">
        <x:v>https://awards.fairwork.gov.au/MA000009.html</x:v>
      </x:c>
    </x:row>
    <x:row r="211" ht="20" customHeight="1">
      <x:c r="A211" t="str">
        <x:v>HC-0210</x:v>
      </x:c>
      <x:c r="B211" t="str">
        <x:v>Hotel housekeeping and accommodation</x:v>
      </x:c>
      <x:c r="C211" s="24" t="n">
        <x:v>6</x:v>
      </x:c>
      <x:c r="D211" t="str">
        <x:v>Linen Controller</x:v>
      </x:c>
      <x:c r="E211" t="str">
        <x:v>Stores / guest service—review</x:v>
      </x:c>
      <x:c r="F211" t="str">
        <x:v>Hospitality General (MA000009)</x:v>
      </x:c>
      <x:c r="G211" t="str">
        <x:v>No automatic pay level from job title; review award coverage and managerial exclusion.</x:v>
      </x:c>
      <x:c r="H211" t="str">
        <x:v>https://awards.fairwork.gov.au/MA000009.html</x:v>
      </x:c>
    </x:row>
    <x:row r="212" ht="20" customHeight="1">
      <x:c r="A212" t="str">
        <x:v>HC-0211</x:v>
      </x:c>
      <x:c r="B212" t="str">
        <x:v>Hotel housekeeping and accommodation</x:v>
      </x:c>
      <x:c r="C212" s="24" t="n">
        <x:v>7</x:v>
      </x:c>
      <x:c r="D212" t="str">
        <x:v>Room Attendant / Housekeeper</x:v>
      </x:c>
      <x:c r="E212" t="str">
        <x:v>Guest service L1–L3</x:v>
      </x:c>
      <x:c r="F212" t="str">
        <x:v>Hospitality General (MA000009)</x:v>
      </x:c>
      <x:c r="G212" t="str">
        <x:v>Indicative only—classification must follow actual duties, coverage and qualifications.</x:v>
      </x:c>
      <x:c r="H212" t="str">
        <x:v>https://awards.fairwork.gov.au/MA000009.html</x:v>
      </x:c>
    </x:row>
    <x:row r="213" ht="20" customHeight="1">
      <x:c r="A213" t="str">
        <x:v>HC-0212</x:v>
      </x:c>
      <x:c r="B213" t="str">
        <x:v>Hotel housekeeping and accommodation</x:v>
      </x:c>
      <x:c r="C213" s="24" t="n">
        <x:v>7</x:v>
      </x:c>
      <x:c r="D213" t="str">
        <x:v>Public Area Cleaner</x:v>
      </x:c>
      <x:c r="E213" t="str">
        <x:v>Guest service L1–L3</x:v>
      </x:c>
      <x:c r="F213" t="str">
        <x:v>Hospitality General (MA000009)</x:v>
      </x:c>
      <x:c r="G213" t="str">
        <x:v>Indicative only—classification must follow actual duties, coverage and qualifications.</x:v>
      </x:c>
      <x:c r="H213" t="str">
        <x:v>https://awards.fairwork.gov.au/MA000009.html</x:v>
      </x:c>
    </x:row>
    <x:row r="214" ht="20" customHeight="1">
      <x:c r="A214" t="str">
        <x:v>HC-0213</x:v>
      </x:c>
      <x:c r="B214" t="str">
        <x:v>Hotel housekeeping and accommodation</x:v>
      </x:c>
      <x:c r="C214" s="24" t="n">
        <x:v>7</x:v>
      </x:c>
      <x:c r="D214" t="str">
        <x:v>Laundry Attendant</x:v>
      </x:c>
      <x:c r="E214" t="str">
        <x:v>Guest service L1–L3</x:v>
      </x:c>
      <x:c r="F214" t="str">
        <x:v>Hospitality General (MA000009)</x:v>
      </x:c>
      <x:c r="G214" t="str">
        <x:v>Indicative only—classification must follow actual duties, coverage and qualifications.</x:v>
      </x:c>
      <x:c r="H214" t="str">
        <x:v>https://awards.fairwork.gov.au/MA000009.html</x:v>
      </x:c>
    </x:row>
    <x:row r="215" ht="20" customHeight="1">
      <x:c r="A215" t="str">
        <x:v>HC-0214</x:v>
      </x:c>
      <x:c r="B215" t="str">
        <x:v>Hotel housekeeping and accommodation</x:v>
      </x:c>
      <x:c r="C215" s="24" t="n">
        <x:v>7</x:v>
      </x:c>
      <x:c r="D215" t="str">
        <x:v>Minibar Attendant</x:v>
      </x:c>
      <x:c r="E215" t="str">
        <x:v>Guest service L1–L3</x:v>
      </x:c>
      <x:c r="F215" t="str">
        <x:v>Hospitality General (MA000009)</x:v>
      </x:c>
      <x:c r="G215" t="str">
        <x:v>Indicative only—classification must follow actual duties, coverage and qualifications.</x:v>
      </x:c>
      <x:c r="H215" t="str">
        <x:v>https://awards.fairwork.gov.au/MA000009.html</x:v>
      </x:c>
    </x:row>
    <x:row r="216" ht="20" customHeight="1">
      <x:c r="A216" t="str">
        <x:v>HC-0215</x:v>
      </x:c>
      <x:c r="B216" t="str">
        <x:v>Hotel housekeeping and accommodation</x:v>
      </x:c>
      <x:c r="C216" s="24" t="n">
        <x:v>7</x:v>
      </x:c>
      <x:c r="D216" t="str">
        <x:v>Housekeeping Runner</x:v>
      </x:c>
      <x:c r="E216" t="str">
        <x:v>Guest service L1–L2</x:v>
      </x:c>
      <x:c r="F216" t="str">
        <x:v>Hospitality General (MA000009)</x:v>
      </x:c>
      <x:c r="G216" t="str">
        <x:v>Indicative only—classification must follow actual duties, coverage and qualifications.</x:v>
      </x:c>
      <x:c r="H216" t="str">
        <x:v>https://awards.fairwork.gov.au/MA000009.html</x:v>
      </x:c>
    </x:row>
    <x:row r="217" ht="20" customHeight="1">
      <x:c r="A217" t="str">
        <x:v>HC-0216</x:v>
      </x:c>
      <x:c r="B217" t="str">
        <x:v>Hotel housekeeping and accommodation</x:v>
      </x:c>
      <x:c r="C217" s="24" t="n">
        <x:v>7</x:v>
      </x:c>
      <x:c r="D217" t="str">
        <x:v>Turndown Attendant</x:v>
      </x:c>
      <x:c r="E217" t="str">
        <x:v>Guest service L1–L3</x:v>
      </x:c>
      <x:c r="F217" t="str">
        <x:v>Hospitality General (MA000009)</x:v>
      </x:c>
      <x:c r="G217" t="str">
        <x:v>Indicative only—classification must follow actual duties, coverage and qualifications.</x:v>
      </x:c>
      <x:c r="H217" t="str">
        <x:v>https://awards.fairwork.gov.au/MA000009.html</x:v>
      </x:c>
    </x:row>
    <x:row r="218" ht="20" customHeight="1">
      <x:c r="A218" t="str">
        <x:v>HC-0217</x:v>
      </x:c>
      <x:c r="B218" t="str">
        <x:v>Hotel housekeeping and accommodation</x:v>
      </x:c>
      <x:c r="C218" s="24" t="n">
        <x:v>8</x:v>
      </x:c>
      <x:c r="D218" t="str">
        <x:v>Trainee Room Attendant</x:v>
      </x:c>
      <x:c r="E218" t="str">
        <x:v>Introductory (time-limited)</x:v>
      </x:c>
      <x:c r="F218" t="str">
        <x:v>Hospitality General (MA000009)</x:v>
      </x:c>
      <x:c r="G218" t="str">
        <x:v>Indicative only—classification must follow actual duties, coverage and qualifications.</x:v>
      </x:c>
      <x:c r="H218" t="str">
        <x:v>https://awards.fairwork.gov.au/MA000009.html</x:v>
      </x:c>
    </x:row>
    <x:row r="219" ht="20" customHeight="1">
      <x:c r="A219" t="str">
        <x:v>HC-0218</x:v>
      </x:c>
      <x:c r="B219" t="str">
        <x:v>Gaming and licensed clubs</x:v>
      </x:c>
      <x:c r="C219" s="24" t="n">
        <x:v>3</x:v>
      </x:c>
      <x:c r="D219" t="str">
        <x:v>Club General Manager</x:v>
      </x:c>
      <x:c r="E219" t="str">
        <x:v>Clubs L6–L13 / review</x:v>
      </x:c>
      <x:c r="F219" t="str">
        <x:v>Clubs (MA000058) / coverage review</x:v>
      </x:c>
      <x:c r="G219" t="str">
        <x:v>No automatic pay level from job title; review award coverage and managerial exclusion.</x:v>
      </x:c>
      <x:c r="H219" t="str">
        <x:v>https://awards.fairwork.gov.au/MA000058.html</x:v>
      </x:c>
    </x:row>
    <x:row r="220" ht="20" customHeight="1">
      <x:c r="A220" t="str">
        <x:v>HC-0219</x:v>
      </x:c>
      <x:c r="B220" t="str">
        <x:v>Gaming and licensed clubs</x:v>
      </x:c>
      <x:c r="C220" s="24" t="n">
        <x:v>3</x:v>
      </x:c>
      <x:c r="D220" t="str">
        <x:v>Gaming Operations Manager</x:v>
      </x:c>
      <x:c r="E220" t="str">
        <x:v>Clubs managerial—review</x:v>
      </x:c>
      <x:c r="F220" t="str">
        <x:v>Clubs (MA000058) / coverage review</x:v>
      </x:c>
      <x:c r="G220" t="str">
        <x:v>No automatic pay level from job title; review award coverage and managerial exclusion.</x:v>
      </x:c>
      <x:c r="H220" t="str">
        <x:v>https://awards.fairwork.gov.au/MA000058.html</x:v>
      </x:c>
    </x:row>
    <x:row r="221" ht="20" customHeight="1">
      <x:c r="A221" t="str">
        <x:v>HC-0220</x:v>
      </x:c>
      <x:c r="B221" t="str">
        <x:v>Gaming and licensed clubs</x:v>
      </x:c>
      <x:c r="C221" s="24" t="n">
        <x:v>4</x:v>
      </x:c>
      <x:c r="D221" t="str">
        <x:v>Gaming Manager</x:v>
      </x:c>
      <x:c r="E221" t="str">
        <x:v>Clubs managerial—review</x:v>
      </x:c>
      <x:c r="F221" t="str">
        <x:v>Clubs (MA000058) / coverage review</x:v>
      </x:c>
      <x:c r="G221" t="str">
        <x:v>No automatic pay level from job title; review award coverage and managerial exclusion.</x:v>
      </x:c>
      <x:c r="H221" t="str">
        <x:v>https://awards.fairwork.gov.au/MA000058.html</x:v>
      </x:c>
    </x:row>
    <x:row r="222" ht="20" customHeight="1">
      <x:c r="A222" t="str">
        <x:v>HC-0221</x:v>
      </x:c>
      <x:c r="B222" t="str">
        <x:v>Gaming and licensed clubs</x:v>
      </x:c>
      <x:c r="C222" s="24" t="n">
        <x:v>4</x:v>
      </x:c>
      <x:c r="D222" t="str">
        <x:v>Club Duty Manager</x:v>
      </x:c>
      <x:c r="E222" t="str">
        <x:v>Clubs supervisory / L7+—review</x:v>
      </x:c>
      <x:c r="F222" t="str">
        <x:v>Clubs (MA000058) / coverage review</x:v>
      </x:c>
      <x:c r="G222" t="str">
        <x:v>No automatic pay level from job title; review award coverage and managerial exclusion.</x:v>
      </x:c>
      <x:c r="H222" t="str">
        <x:v>https://awards.fairwork.gov.au/MA000058.html</x:v>
      </x:c>
    </x:row>
    <x:row r="223" ht="20" customHeight="1">
      <x:c r="A223" t="str">
        <x:v>HC-0222</x:v>
      </x:c>
      <x:c r="B223" t="str">
        <x:v>Gaming and licensed clubs</x:v>
      </x:c>
      <x:c r="C223" s="24" t="n">
        <x:v>5</x:v>
      </x:c>
      <x:c r="D223" t="str">
        <x:v>Gaming Supervisor</x:v>
      </x:c>
      <x:c r="E223" t="str">
        <x:v>Clubs L5 (duties-based)</x:v>
      </x:c>
      <x:c r="F223" t="str">
        <x:v>Clubs (MA000058) / coverage review</x:v>
      </x:c>
      <x:c r="G223" t="str">
        <x:v>Indicative only—classification must follow actual duties, coverage and qualifications.</x:v>
      </x:c>
      <x:c r="H223" t="str">
        <x:v>https://awards.fairwork.gov.au/MA000058.html</x:v>
      </x:c>
    </x:row>
    <x:row r="224" ht="20" customHeight="1">
      <x:c r="A224" t="str">
        <x:v>HC-0223</x:v>
      </x:c>
      <x:c r="B224" t="str">
        <x:v>Gaming and licensed clubs</x:v>
      </x:c>
      <x:c r="C224" s="24" t="n">
        <x:v>5</x:v>
      </x:c>
      <x:c r="D224" t="str">
        <x:v>Gaming Floor Supervisor</x:v>
      </x:c>
      <x:c r="E224" t="str">
        <x:v>Clubs L5 (duties-based)</x:v>
      </x:c>
      <x:c r="F224" t="str">
        <x:v>Clubs (MA000058) / coverage review</x:v>
      </x:c>
      <x:c r="G224" t="str">
        <x:v>Indicative only—classification must follow actual duties, coverage and qualifications.</x:v>
      </x:c>
      <x:c r="H224" t="str">
        <x:v>https://awards.fairwork.gov.au/MA000058.html</x:v>
      </x:c>
    </x:row>
    <x:row r="225" ht="20" customHeight="1">
      <x:c r="A225" t="str">
        <x:v>HC-0224</x:v>
      </x:c>
      <x:c r="B225" t="str">
        <x:v>Gaming and licensed clubs</x:v>
      </x:c>
      <x:c r="C225" s="24" t="n">
        <x:v>5</x:v>
      </x:c>
      <x:c r="D225" t="str">
        <x:v>Club Bar Supervisor</x:v>
      </x:c>
      <x:c r="E225" t="str">
        <x:v>Clubs L5 (duties-based)</x:v>
      </x:c>
      <x:c r="F225" t="str">
        <x:v>Clubs (MA000058) / coverage review</x:v>
      </x:c>
      <x:c r="G225" t="str">
        <x:v>Indicative only—classification must follow actual duties, coverage and qualifications.</x:v>
      </x:c>
      <x:c r="H225" t="str">
        <x:v>https://awards.fairwork.gov.au/MA000058.html</x:v>
      </x:c>
    </x:row>
    <x:row r="226" ht="20" customHeight="1">
      <x:c r="A226" t="str">
        <x:v>HC-0225</x:v>
      </x:c>
      <x:c r="B226" t="str">
        <x:v>Gaming and licensed clubs</x:v>
      </x:c>
      <x:c r="C226" s="24" t="n">
        <x:v>6</x:v>
      </x:c>
      <x:c r="D226" t="str">
        <x:v>Senior Gaming Attendant</x:v>
      </x:c>
      <x:c r="E226" t="str">
        <x:v>Clubs L3–L5</x:v>
      </x:c>
      <x:c r="F226" t="str">
        <x:v>Clubs (MA000058) / coverage review</x:v>
      </x:c>
      <x:c r="G226" t="str">
        <x:v>Indicative only—classification must follow actual duties, coverage and qualifications.</x:v>
      </x:c>
      <x:c r="H226" t="str">
        <x:v>https://awards.fairwork.gov.au/MA000058.html</x:v>
      </x:c>
    </x:row>
    <x:row r="227" ht="20" customHeight="1">
      <x:c r="A227" t="str">
        <x:v>HC-0226</x:v>
      </x:c>
      <x:c r="B227" t="str">
        <x:v>Gaming and licensed clubs</x:v>
      </x:c>
      <x:c r="C227" s="24" t="n">
        <x:v>6</x:v>
      </x:c>
      <x:c r="D227" t="str">
        <x:v>TAB / Wagering Supervisor</x:v>
      </x:c>
      <x:c r="E227" t="str">
        <x:v>Clubs classification—review</x:v>
      </x:c>
      <x:c r="F227" t="str">
        <x:v>Clubs (MA000058) / coverage review</x:v>
      </x:c>
      <x:c r="G227" t="str">
        <x:v>No automatic pay level from job title; review award coverage and managerial exclusion.</x:v>
      </x:c>
      <x:c r="H227" t="str">
        <x:v>https://awards.fairwork.gov.au/MA000058.html</x:v>
      </x:c>
    </x:row>
    <x:row r="228" ht="20" customHeight="1">
      <x:c r="A228" t="str">
        <x:v>HC-0227</x:v>
      </x:c>
      <x:c r="B228" t="str">
        <x:v>Gaming and licensed clubs</x:v>
      </x:c>
      <x:c r="C228" s="24" t="n">
        <x:v>7</x:v>
      </x:c>
      <x:c r="D228" t="str">
        <x:v>Gaming Attendant</x:v>
      </x:c>
      <x:c r="E228" t="str">
        <x:v>Clubs L3 (duties-based)</x:v>
      </x:c>
      <x:c r="F228" t="str">
        <x:v>Clubs (MA000058) / coverage review</x:v>
      </x:c>
      <x:c r="G228" t="str">
        <x:v>Indicative only—classification must follow actual duties, coverage and qualifications.</x:v>
      </x:c>
      <x:c r="H228" t="str">
        <x:v>https://awards.fairwork.gov.au/MA000058.html</x:v>
      </x:c>
    </x:row>
    <x:row r="229" ht="20" customHeight="1">
      <x:c r="A229" t="str">
        <x:v>HC-0228</x:v>
      </x:c>
      <x:c r="B229" t="str">
        <x:v>Gaming and licensed clubs</x:v>
      </x:c>
      <x:c r="C229" s="24" t="n">
        <x:v>7</x:v>
      </x:c>
      <x:c r="D229" t="str">
        <x:v>Keno / TAB Attendant</x:v>
      </x:c>
      <x:c r="E229" t="str">
        <x:v>Clubs L3 (duties-based)</x:v>
      </x:c>
      <x:c r="F229" t="str">
        <x:v>Clubs (MA000058) / coverage review</x:v>
      </x:c>
      <x:c r="G229" t="str">
        <x:v>Indicative only—classification must follow actual duties, coverage and qualifications.</x:v>
      </x:c>
      <x:c r="H229" t="str">
        <x:v>https://awards.fairwork.gov.au/MA000058.html</x:v>
      </x:c>
    </x:row>
    <x:row r="230" ht="20" customHeight="1">
      <x:c r="A230" t="str">
        <x:v>HC-0229</x:v>
      </x:c>
      <x:c r="B230" t="str">
        <x:v>Gaming and licensed clubs</x:v>
      </x:c>
      <x:c r="C230" s="24" t="n">
        <x:v>7</x:v>
      </x:c>
      <x:c r="D230" t="str">
        <x:v>Club Reception / Membership Officer</x:v>
      </x:c>
      <x:c r="E230" t="str">
        <x:v>Clerical / front office—review</x:v>
      </x:c>
      <x:c r="F230" t="str">
        <x:v>Clubs (MA000058) / coverage review</x:v>
      </x:c>
      <x:c r="G230" t="str">
        <x:v>No automatic pay level from job title; review award coverage and managerial exclusion.</x:v>
      </x:c>
      <x:c r="H230" t="str">
        <x:v>https://awards.fairwork.gov.au/MA000058.html</x:v>
      </x:c>
    </x:row>
    <x:row r="231" ht="20" customHeight="1">
      <x:c r="A231" t="str">
        <x:v>HC-0230</x:v>
      </x:c>
      <x:c r="B231" t="str">
        <x:v>Gaming and licensed clubs</x:v>
      </x:c>
      <x:c r="C231" s="24" t="n">
        <x:v>7</x:v>
      </x:c>
      <x:c r="D231" t="str">
        <x:v>Responsible Gaming Officer</x:v>
      </x:c>
      <x:c r="E231" t="str">
        <x:v>Clubs classification—review</x:v>
      </x:c>
      <x:c r="F231" t="str">
        <x:v>Clubs (MA000058) / coverage review</x:v>
      </x:c>
      <x:c r="G231" t="str">
        <x:v>No automatic pay level from job title; review award coverage and managerial exclusion.</x:v>
      </x:c>
      <x:c r="H231" t="str">
        <x:v>https://awards.fairwork.gov.au/MA000058.html</x:v>
      </x:c>
    </x:row>
    <x:row r="232" ht="20" customHeight="1">
      <x:c r="A232" t="str">
        <x:v>HC-0231</x:v>
      </x:c>
      <x:c r="B232" t="str">
        <x:v>Gaming and licensed clubs</x:v>
      </x:c>
      <x:c r="C232" s="24" t="n">
        <x:v>7</x:v>
      </x:c>
      <x:c r="D232" t="str">
        <x:v>Club Food and Beverage Attendant</x:v>
      </x:c>
      <x:c r="E232" t="str">
        <x:v>Clubs L1–L3</x:v>
      </x:c>
      <x:c r="F232" t="str">
        <x:v>Clubs (MA000058) / coverage review</x:v>
      </x:c>
      <x:c r="G232" t="str">
        <x:v>Indicative only—classification must follow actual duties, coverage and qualifications.</x:v>
      </x:c>
      <x:c r="H232" t="str">
        <x:v>https://awards.fairwork.gov.au/MA000058.html</x:v>
      </x:c>
    </x:row>
    <x:row r="233" ht="20" customHeight="1">
      <x:c r="A233" t="str">
        <x:v>HC-0232</x:v>
      </x:c>
      <x:c r="B233" t="str">
        <x:v>Stewarding kitchen support and cleaning</x:v>
      </x:c>
      <x:c r="C233" s="24" t="n">
        <x:v>4</x:v>
      </x:c>
      <x:c r="D233" t="str">
        <x:v>Chief Steward</x:v>
      </x:c>
      <x:c r="E233" t="str">
        <x:v>Management / support supervisor—review</x:v>
      </x:c>
      <x:c r="F233" t="str">
        <x:v>Restaurant or Hospitality General / other</x:v>
      </x:c>
      <x:c r="G233" t="str">
        <x:v>No automatic pay level from job title; review award coverage and managerial exclusion.</x:v>
      </x:c>
      <x:c r="H233" t="str">
        <x:v>https://awards.fairwork.gov.au/MA000119.html</x:v>
      </x:c>
    </x:row>
    <x:row r="234" ht="20" customHeight="1">
      <x:c r="A234" t="str">
        <x:v>HC-0233</x:v>
      </x:c>
      <x:c r="B234" t="str">
        <x:v>Stewarding kitchen support and cleaning</x:v>
      </x:c>
      <x:c r="C234" s="24" t="n">
        <x:v>5</x:v>
      </x:c>
      <x:c r="D234" t="str">
        <x:v>Stewarding Supervisor</x:v>
      </x:c>
      <x:c r="E234" t="str">
        <x:v>Kitchen attendant L3</x:v>
      </x:c>
      <x:c r="F234" t="str">
        <x:v>Restaurant or Hospitality General / other</x:v>
      </x:c>
      <x:c r="G234" t="str">
        <x:v>Indicative only—classification must follow actual duties, coverage and qualifications.</x:v>
      </x:c>
      <x:c r="H234" t="str">
        <x:v>https://awards.fairwork.gov.au/MA000119.html</x:v>
      </x:c>
    </x:row>
    <x:row r="235" ht="20" customHeight="1">
      <x:c r="A235" t="str">
        <x:v>HC-0234</x:v>
      </x:c>
      <x:c r="B235" t="str">
        <x:v>Stewarding kitchen support and cleaning</x:v>
      </x:c>
      <x:c r="C235" s="24" t="n">
        <x:v>5</x:v>
      </x:c>
      <x:c r="D235" t="str">
        <x:v>Kitchen Hand Supervisor</x:v>
      </x:c>
      <x:c r="E235" t="str">
        <x:v>Kitchen attendant L3</x:v>
      </x:c>
      <x:c r="F235" t="str">
        <x:v>Restaurant or Hospitality General / other</x:v>
      </x:c>
      <x:c r="G235" t="str">
        <x:v>Indicative only—classification must follow actual duties, coverage and qualifications.</x:v>
      </x:c>
      <x:c r="H235" t="str">
        <x:v>https://awards.fairwork.gov.au/MA000119.html</x:v>
      </x:c>
    </x:row>
    <x:row r="236" ht="20" customHeight="1">
      <x:c r="A236" t="str">
        <x:v>HC-0235</x:v>
      </x:c>
      <x:c r="B236" t="str">
        <x:v>Stewarding kitchen support and cleaning</x:v>
      </x:c>
      <x:c r="C236" s="24" t="n">
        <x:v>6</x:v>
      </x:c>
      <x:c r="D236" t="str">
        <x:v>Senior Kitchen Hand</x:v>
      </x:c>
      <x:c r="E236" t="str">
        <x:v>Kitchen attendant L2–L3</x:v>
      </x:c>
      <x:c r="F236" t="str">
        <x:v>Restaurant or Hospitality General / other</x:v>
      </x:c>
      <x:c r="G236" t="str">
        <x:v>Indicative only—classification must follow actual duties, coverage and qualifications.</x:v>
      </x:c>
      <x:c r="H236" t="str">
        <x:v>https://awards.fairwork.gov.au/MA000119.html</x:v>
      </x:c>
    </x:row>
    <x:row r="237" ht="20" customHeight="1">
      <x:c r="A237" t="str">
        <x:v>HC-0236</x:v>
      </x:c>
      <x:c r="B237" t="str">
        <x:v>Stewarding kitchen support and cleaning</x:v>
      </x:c>
      <x:c r="C237" s="24" t="n">
        <x:v>6</x:v>
      </x:c>
      <x:c r="D237" t="str">
        <x:v>Stores and Receiving Officer</x:v>
      </x:c>
      <x:c r="E237" t="str">
        <x:v>Storeperson L2–L4</x:v>
      </x:c>
      <x:c r="F237" t="str">
        <x:v>Restaurant or Hospitality General / other</x:v>
      </x:c>
      <x:c r="G237" t="str">
        <x:v>Indicative only—classification must follow actual duties, coverage and qualifications.</x:v>
      </x:c>
      <x:c r="H237" t="str">
        <x:v>https://awards.fairwork.gov.au/MA000119.html</x:v>
      </x:c>
    </x:row>
    <x:row r="238" ht="20" customHeight="1">
      <x:c r="A238" t="str">
        <x:v>HC-0237</x:v>
      </x:c>
      <x:c r="B238" t="str">
        <x:v>Stewarding kitchen support and cleaning</x:v>
      </x:c>
      <x:c r="C238" s="24" t="n">
        <x:v>7</x:v>
      </x:c>
      <x:c r="D238" t="str">
        <x:v>Kitchen Hand</x:v>
      </x:c>
      <x:c r="E238" t="str">
        <x:v>Kitchen attendant L1–L2</x:v>
      </x:c>
      <x:c r="F238" t="str">
        <x:v>Restaurant or Hospitality General / other</x:v>
      </x:c>
      <x:c r="G238" t="str">
        <x:v>Indicative only—classification must follow actual duties, coverage and qualifications.</x:v>
      </x:c>
      <x:c r="H238" t="str">
        <x:v>https://awards.fairwork.gov.au/MA000119.html</x:v>
      </x:c>
    </x:row>
    <x:row r="239" ht="20" customHeight="1">
      <x:c r="A239" t="str">
        <x:v>HC-0238</x:v>
      </x:c>
      <x:c r="B239" t="str">
        <x:v>Stewarding kitchen support and cleaning</x:v>
      </x:c>
      <x:c r="C239" s="24" t="n">
        <x:v>7</x:v>
      </x:c>
      <x:c r="D239" t="str">
        <x:v>Dishwasher / Kitchen Porter</x:v>
      </x:c>
      <x:c r="E239" t="str">
        <x:v>Kitchen attendant L1–L2</x:v>
      </x:c>
      <x:c r="F239" t="str">
        <x:v>Restaurant or Hospitality General / other</x:v>
      </x:c>
      <x:c r="G239" t="str">
        <x:v>Indicative only—classification must follow actual duties, coverage and qualifications.</x:v>
      </x:c>
      <x:c r="H239" t="str">
        <x:v>https://awards.fairwork.gov.au/MA000119.html</x:v>
      </x:c>
    </x:row>
    <x:row r="240" ht="20" customHeight="1">
      <x:c r="A240" t="str">
        <x:v>HC-0239</x:v>
      </x:c>
      <x:c r="B240" t="str">
        <x:v>Stewarding kitchen support and cleaning</x:v>
      </x:c>
      <x:c r="C240" s="24" t="n">
        <x:v>7</x:v>
      </x:c>
      <x:c r="D240" t="str">
        <x:v>Pot Washer / Scullery Attendant</x:v>
      </x:c>
      <x:c r="E240" t="str">
        <x:v>Kitchen attendant L1</x:v>
      </x:c>
      <x:c r="F240" t="str">
        <x:v>Restaurant or Hospitality General / other</x:v>
      </x:c>
      <x:c r="G240" t="str">
        <x:v>Indicative only—classification must follow actual duties, coverage and qualifications.</x:v>
      </x:c>
      <x:c r="H240" t="str">
        <x:v>https://awards.fairwork.gov.au/MA000119.html</x:v>
      </x:c>
    </x:row>
    <x:row r="241" ht="20" customHeight="1">
      <x:c r="A241" t="str">
        <x:v>HC-0240</x:v>
      </x:c>
      <x:c r="B241" t="str">
        <x:v>Stewarding kitchen support and cleaning</x:v>
      </x:c>
      <x:c r="C241" s="24" t="n">
        <x:v>7</x:v>
      </x:c>
      <x:c r="D241" t="str">
        <x:v>Food Preparation Assistant</x:v>
      </x:c>
      <x:c r="E241" t="str">
        <x:v>Kitchen attendant L1–L2</x:v>
      </x:c>
      <x:c r="F241" t="str">
        <x:v>Restaurant or Hospitality General / other</x:v>
      </x:c>
      <x:c r="G241" t="str">
        <x:v>Indicative only—classification must follow actual duties, coverage and qualifications.</x:v>
      </x:c>
      <x:c r="H241" t="str">
        <x:v>https://awards.fairwork.gov.au/MA000119.html</x:v>
      </x:c>
    </x:row>
    <x:row r="242" ht="20" customHeight="1">
      <x:c r="A242" t="str">
        <x:v>HC-0241</x:v>
      </x:c>
      <x:c r="B242" t="str">
        <x:v>Stewarding kitchen support and cleaning</x:v>
      </x:c>
      <x:c r="C242" s="24" t="n">
        <x:v>7</x:v>
      </x:c>
      <x:c r="D242" t="str">
        <x:v>Waste and Recycling Attendant</x:v>
      </x:c>
      <x:c r="E242" t="str">
        <x:v>Kitchen attendant / other—review</x:v>
      </x:c>
      <x:c r="F242" t="str">
        <x:v>Restaurant or Hospitality General / other</x:v>
      </x:c>
      <x:c r="G242" t="str">
        <x:v>No automatic pay level from job title; review award coverage and managerial exclusion.</x:v>
      </x:c>
      <x:c r="H242" t="str">
        <x:v>https://awards.fairwork.gov.au/MA000119.html</x:v>
      </x:c>
    </x:row>
    <x:row r="243" ht="20" customHeight="1">
      <x:c r="A243" t="str">
        <x:v>HC-0242</x:v>
      </x:c>
      <x:c r="B243" t="str">
        <x:v>Stewarding kitchen support and cleaning</x:v>
      </x:c>
      <x:c r="C243" s="24" t="n">
        <x:v>8</x:v>
      </x:c>
      <x:c r="D243" t="str">
        <x:v>Kitchen Cleaner</x:v>
      </x:c>
      <x:c r="E243" t="str">
        <x:v>Kitchen attendant L1</x:v>
      </x:c>
      <x:c r="F243" t="str">
        <x:v>Restaurant or Hospitality General / other</x:v>
      </x:c>
      <x:c r="G243" t="str">
        <x:v>Indicative only—classification must follow actual duties, coverage and qualifications.</x:v>
      </x:c>
      <x:c r="H243" t="str">
        <x:v>https://awards.fairwork.gov.au/MA000119.html</x:v>
      </x:c>
    </x:row>
    <x:row r="244" ht="20" customHeight="1">
      <x:c r="A244" t="str">
        <x:v>HC-0243</x:v>
      </x:c>
      <x:c r="B244" t="str">
        <x:v>Stewarding kitchen support and cleaning</x:v>
      </x:c>
      <x:c r="C244" s="24" t="n">
        <x:v>8</x:v>
      </x:c>
      <x:c r="D244" t="str">
        <x:v>Kitchen Trainee</x:v>
      </x:c>
      <x:c r="E244" t="str">
        <x:v>Introductory (time-limited)</x:v>
      </x:c>
      <x:c r="F244" t="str">
        <x:v>Restaurant or Hospitality General / other</x:v>
      </x:c>
      <x:c r="G244" t="str">
        <x:v>Indicative only—classification must follow actual duties, coverage and qualifications.</x:v>
      </x:c>
      <x:c r="H244" t="str">
        <x:v>https://awards.fairwork.gov.au/MA000119.html</x:v>
      </x:c>
    </x:row>
    <x:row r="245" ht="20" customHeight="1">
      <x:c r="A245" t="str">
        <x:v>HC-0244</x:v>
      </x:c>
      <x:c r="B245" t="str">
        <x:v>Sales marketing finance admin and HR</x:v>
      </x:c>
      <x:c r="C245" s="24" t="n">
        <x:v>2</x:v>
      </x:c>
      <x:c r="D245" t="str">
        <x:v>Director of Sales and Marketing</x:v>
      </x:c>
      <x:c r="E245" t="str">
        <x:v>Management/professional—review</x:v>
      </x:c>
      <x:c r="F245" t="str">
        <x:v>Restaurant or Hospitality General / other</x:v>
      </x:c>
      <x:c r="G245" t="str">
        <x:v>No automatic pay level from job title; review award coverage and managerial exclusion.</x:v>
      </x:c>
      <x:c r="H245" t="str">
        <x:v>https://awards.fairwork.gov.au/MA000119.html</x:v>
      </x:c>
    </x:row>
    <x:row r="246" ht="20" customHeight="1">
      <x:c r="A246" t="str">
        <x:v>HC-0245</x:v>
      </x:c>
      <x:c r="B246" t="str">
        <x:v>Sales marketing finance admin and HR</x:v>
      </x:c>
      <x:c r="C246" s="24" t="n">
        <x:v>3</x:v>
      </x:c>
      <x:c r="D246" t="str">
        <x:v>Sales and Marketing Manager</x:v>
      </x:c>
      <x:c r="E246" t="str">
        <x:v>Management/professional—review</x:v>
      </x:c>
      <x:c r="F246" t="str">
        <x:v>Restaurant or Hospitality General / other</x:v>
      </x:c>
      <x:c r="G246" t="str">
        <x:v>No automatic pay level from job title; review award coverage and managerial exclusion.</x:v>
      </x:c>
      <x:c r="H246" t="str">
        <x:v>https://awards.fairwork.gov.au/MA000119.html</x:v>
      </x:c>
    </x:row>
    <x:row r="247" ht="20" customHeight="1">
      <x:c r="A247" t="str">
        <x:v>HC-0246</x:v>
      </x:c>
      <x:c r="B247" t="str">
        <x:v>Sales marketing finance admin and HR</x:v>
      </x:c>
      <x:c r="C247" s="24" t="n">
        <x:v>3</x:v>
      </x:c>
      <x:c r="D247" t="str">
        <x:v>Human Resources Manager</x:v>
      </x:c>
      <x:c r="E247" t="str">
        <x:v>Management/professional—review</x:v>
      </x:c>
      <x:c r="F247" t="str">
        <x:v>Restaurant or Hospitality General / other</x:v>
      </x:c>
      <x:c r="G247" t="str">
        <x:v>No automatic pay level from job title; review award coverage and managerial exclusion.</x:v>
      </x:c>
      <x:c r="H247" t="str">
        <x:v>https://awards.fairwork.gov.au/MA000119.html</x:v>
      </x:c>
    </x:row>
    <x:row r="248" ht="20" customHeight="1">
      <x:c r="A248" t="str">
        <x:v>HC-0247</x:v>
      </x:c>
      <x:c r="B248" t="str">
        <x:v>Sales marketing finance admin and HR</x:v>
      </x:c>
      <x:c r="C248" s="24" t="n">
        <x:v>3</x:v>
      </x:c>
      <x:c r="D248" t="str">
        <x:v>Finance Manager / Financial Controller</x:v>
      </x:c>
      <x:c r="E248" t="str">
        <x:v>Management/professional—review</x:v>
      </x:c>
      <x:c r="F248" t="str">
        <x:v>Restaurant or Hospitality General / other</x:v>
      </x:c>
      <x:c r="G248" t="str">
        <x:v>No automatic pay level from job title; review award coverage and managerial exclusion.</x:v>
      </x:c>
      <x:c r="H248" t="str">
        <x:v>https://awards.fairwork.gov.au/MA000119.html</x:v>
      </x:c>
    </x:row>
    <x:row r="249" ht="20" customHeight="1">
      <x:c r="A249" t="str">
        <x:v>HC-0248</x:v>
      </x:c>
      <x:c r="B249" t="str">
        <x:v>Sales marketing finance admin and HR</x:v>
      </x:c>
      <x:c r="C249" s="24" t="n">
        <x:v>3</x:v>
      </x:c>
      <x:c r="D249" t="str">
        <x:v>Director of Revenue Management</x:v>
      </x:c>
      <x:c r="E249" t="str">
        <x:v>Management/professional—review</x:v>
      </x:c>
      <x:c r="F249" t="str">
        <x:v>Restaurant or Hospitality General / other</x:v>
      </x:c>
      <x:c r="G249" t="str">
        <x:v>No automatic pay level from job title; review award coverage and managerial exclusion.</x:v>
      </x:c>
      <x:c r="H249" t="str">
        <x:v>https://awards.fairwork.gov.au/MA000119.html</x:v>
      </x:c>
    </x:row>
    <x:row r="250" ht="20" customHeight="1">
      <x:c r="A250" t="str">
        <x:v>HC-0249</x:v>
      </x:c>
      <x:c r="B250" t="str">
        <x:v>Sales marketing finance admin and HR</x:v>
      </x:c>
      <x:c r="C250" s="24" t="n">
        <x:v>4</x:v>
      </x:c>
      <x:c r="D250" t="str">
        <x:v>Business Development Manager</x:v>
      </x:c>
      <x:c r="E250" t="str">
        <x:v>Management/professional—review</x:v>
      </x:c>
      <x:c r="F250" t="str">
        <x:v>Restaurant or Hospitality General / other</x:v>
      </x:c>
      <x:c r="G250" t="str">
        <x:v>No automatic pay level from job title; review award coverage and managerial exclusion.</x:v>
      </x:c>
      <x:c r="H250" t="str">
        <x:v>https://awards.fairwork.gov.au/MA000119.html</x:v>
      </x:c>
    </x:row>
    <x:row r="251" ht="20" customHeight="1">
      <x:c r="A251" t="str">
        <x:v>HC-0250</x:v>
      </x:c>
      <x:c r="B251" t="str">
        <x:v>Sales marketing finance admin and HR</x:v>
      </x:c>
      <x:c r="C251" s="24" t="n">
        <x:v>4</x:v>
      </x:c>
      <x:c r="D251" t="str">
        <x:v>Group Sales Manager</x:v>
      </x:c>
      <x:c r="E251" t="str">
        <x:v>Management/professional—review</x:v>
      </x:c>
      <x:c r="F251" t="str">
        <x:v>Restaurant or Hospitality General / other</x:v>
      </x:c>
      <x:c r="G251" t="str">
        <x:v>No automatic pay level from job title; review award coverage and managerial exclusion.</x:v>
      </x:c>
      <x:c r="H251" t="str">
        <x:v>https://awards.fairwork.gov.au/MA000119.html</x:v>
      </x:c>
    </x:row>
    <x:row r="252" ht="20" customHeight="1">
      <x:c r="A252" t="str">
        <x:v>HC-0251</x:v>
      </x:c>
      <x:c r="B252" t="str">
        <x:v>Sales marketing finance admin and HR</x:v>
      </x:c>
      <x:c r="C252" s="24" t="n">
        <x:v>4</x:v>
      </x:c>
      <x:c r="D252" t="str">
        <x:v>Recruitment Manager</x:v>
      </x:c>
      <x:c r="E252" t="str">
        <x:v>Management/professional—review</x:v>
      </x:c>
      <x:c r="F252" t="str">
        <x:v>Restaurant or Hospitality General / other</x:v>
      </x:c>
      <x:c r="G252" t="str">
        <x:v>No automatic pay level from job title; review award coverage and managerial exclusion.</x:v>
      </x:c>
      <x:c r="H252" t="str">
        <x:v>https://awards.fairwork.gov.au/MA000119.html</x:v>
      </x:c>
    </x:row>
    <x:row r="253" ht="20" customHeight="1">
      <x:c r="A253" t="str">
        <x:v>HC-0252</x:v>
      </x:c>
      <x:c r="B253" t="str">
        <x:v>Sales marketing finance admin and HR</x:v>
      </x:c>
      <x:c r="C253" s="24" t="n">
        <x:v>4</x:v>
      </x:c>
      <x:c r="D253" t="str">
        <x:v>Payroll Manager</x:v>
      </x:c>
      <x:c r="E253" t="str">
        <x:v>Management / clerical—review</x:v>
      </x:c>
      <x:c r="F253" t="str">
        <x:v>Restaurant or Hospitality General / other</x:v>
      </x:c>
      <x:c r="G253" t="str">
        <x:v>No automatic pay level from job title; review award coverage and managerial exclusion.</x:v>
      </x:c>
      <x:c r="H253" t="str">
        <x:v>https://awards.fairwork.gov.au/MA000119.html</x:v>
      </x:c>
    </x:row>
    <x:row r="254" ht="20" customHeight="1">
      <x:c r="A254" t="str">
        <x:v>HC-0253</x:v>
      </x:c>
      <x:c r="B254" t="str">
        <x:v>Sales marketing finance admin and HR</x:v>
      </x:c>
      <x:c r="C254" s="24" t="n">
        <x:v>4</x:v>
      </x:c>
      <x:c r="D254" t="str">
        <x:v>Reservations and Distribution Manager</x:v>
      </x:c>
      <x:c r="E254" t="str">
        <x:v>Management / clerical—review</x:v>
      </x:c>
      <x:c r="F254" t="str">
        <x:v>Restaurant or Hospitality General / other</x:v>
      </x:c>
      <x:c r="G254" t="str">
        <x:v>No automatic pay level from job title; review award coverage and managerial exclusion.</x:v>
      </x:c>
      <x:c r="H254" t="str">
        <x:v>https://awards.fairwork.gov.au/MA000119.html</x:v>
      </x:c>
    </x:row>
    <x:row r="255" ht="20" customHeight="1">
      <x:c r="A255" t="str">
        <x:v>HC-0254</x:v>
      </x:c>
      <x:c r="B255" t="str">
        <x:v>Sales marketing finance admin and HR</x:v>
      </x:c>
      <x:c r="C255" s="24" t="n">
        <x:v>5</x:v>
      </x:c>
      <x:c r="D255" t="str">
        <x:v>Sales Executive / Wedding Sales Consultant</x:v>
      </x:c>
      <x:c r="E255" t="str">
        <x:v>Clerical / sales—review</x:v>
      </x:c>
      <x:c r="F255" t="str">
        <x:v>Restaurant or Hospitality General / other</x:v>
      </x:c>
      <x:c r="G255" t="str">
        <x:v>No automatic pay level from job title; review award coverage and managerial exclusion.</x:v>
      </x:c>
      <x:c r="H255" t="str">
        <x:v>https://awards.fairwork.gov.au/MA000119.html</x:v>
      </x:c>
    </x:row>
    <x:row r="256" ht="20" customHeight="1">
      <x:c r="A256" t="str">
        <x:v>HC-0255</x:v>
      </x:c>
      <x:c r="B256" t="str">
        <x:v>Sales marketing finance admin and HR</x:v>
      </x:c>
      <x:c r="C256" s="24" t="n">
        <x:v>5</x:v>
      </x:c>
      <x:c r="D256" t="str">
        <x:v>Marketing Coordinator</x:v>
      </x:c>
      <x:c r="E256" t="str">
        <x:v>Clerical / professional—review</x:v>
      </x:c>
      <x:c r="F256" t="str">
        <x:v>Restaurant or Hospitality General / other</x:v>
      </x:c>
      <x:c r="G256" t="str">
        <x:v>No automatic pay level from job title; review award coverage and managerial exclusion.</x:v>
      </x:c>
      <x:c r="H256" t="str">
        <x:v>https://awards.fairwork.gov.au/MA000119.html</x:v>
      </x:c>
    </x:row>
    <x:row r="257" ht="20" customHeight="1">
      <x:c r="A257" t="str">
        <x:v>HC-0256</x:v>
      </x:c>
      <x:c r="B257" t="str">
        <x:v>Sales marketing finance admin and HR</x:v>
      </x:c>
      <x:c r="C257" s="24" t="n">
        <x:v>5</x:v>
      </x:c>
      <x:c r="D257" t="str">
        <x:v>Event Sales Coordinator</x:v>
      </x:c>
      <x:c r="E257" t="str">
        <x:v>Clerical / F&amp;B—review</x:v>
      </x:c>
      <x:c r="F257" t="str">
        <x:v>Restaurant or Hospitality General / other</x:v>
      </x:c>
      <x:c r="G257" t="str">
        <x:v>No automatic pay level from job title; review award coverage and managerial exclusion.</x:v>
      </x:c>
      <x:c r="H257" t="str">
        <x:v>https://awards.fairwork.gov.au/MA000119.html</x:v>
      </x:c>
    </x:row>
    <x:row r="258" ht="20" customHeight="1">
      <x:c r="A258" t="str">
        <x:v>HC-0257</x:v>
      </x:c>
      <x:c r="B258" t="str">
        <x:v>Sales marketing finance admin and HR</x:v>
      </x:c>
      <x:c r="C258" s="24" t="n">
        <x:v>5</x:v>
      </x:c>
      <x:c r="D258" t="str">
        <x:v>Accounts Supervisor</x:v>
      </x:c>
      <x:c r="E258" t="str">
        <x:v>Clerical supervisor L5 (where covered)</x:v>
      </x:c>
      <x:c r="F258" t="str">
        <x:v>Restaurant or Hospitality General / other</x:v>
      </x:c>
      <x:c r="G258" t="str">
        <x:v>Indicative only—classification must follow actual duties, coverage and qualifications.</x:v>
      </x:c>
      <x:c r="H258" t="str">
        <x:v>https://awards.fairwork.gov.au/MA000119.html</x:v>
      </x:c>
    </x:row>
    <x:row r="259" ht="20" customHeight="1">
      <x:c r="A259" t="str">
        <x:v>HC-0258</x:v>
      </x:c>
      <x:c r="B259" t="str">
        <x:v>Sales marketing finance admin and HR</x:v>
      </x:c>
      <x:c r="C259" s="24" t="n">
        <x:v>5</x:v>
      </x:c>
      <x:c r="D259" t="str">
        <x:v>Office Administrator</x:v>
      </x:c>
      <x:c r="E259" t="str">
        <x:v>Clerical L2–L4</x:v>
      </x:c>
      <x:c r="F259" t="str">
        <x:v>Restaurant or Hospitality General / other</x:v>
      </x:c>
      <x:c r="G259" t="str">
        <x:v>Indicative only—classification must follow actual duties, coverage and qualifications.</x:v>
      </x:c>
      <x:c r="H259" t="str">
        <x:v>https://awards.fairwork.gov.au/MA000119.html</x:v>
      </x:c>
    </x:row>
    <x:row r="260" ht="20" customHeight="1">
      <x:c r="A260" t="str">
        <x:v>HC-0259</x:v>
      </x:c>
      <x:c r="B260" t="str">
        <x:v>Sales marketing finance admin and HR</x:v>
      </x:c>
      <x:c r="C260" s="24" t="n">
        <x:v>6</x:v>
      </x:c>
      <x:c r="D260" t="str">
        <x:v>Bookkeeper</x:v>
      </x:c>
      <x:c r="E260" t="str">
        <x:v>Clerical / other award—review</x:v>
      </x:c>
      <x:c r="F260" t="str">
        <x:v>Restaurant or Hospitality General / other</x:v>
      </x:c>
      <x:c r="G260" t="str">
        <x:v>No automatic pay level from job title; review award coverage and managerial exclusion.</x:v>
      </x:c>
      <x:c r="H260" t="str">
        <x:v>https://awards.fairwork.gov.au/MA000119.html</x:v>
      </x:c>
    </x:row>
    <x:row r="261" ht="20" customHeight="1">
      <x:c r="A261" t="str">
        <x:v>HC-0260</x:v>
      </x:c>
      <x:c r="B261" t="str">
        <x:v>Sales marketing finance admin and HR</x:v>
      </x:c>
      <x:c r="C261" s="24" t="n">
        <x:v>6</x:v>
      </x:c>
      <x:c r="D261" t="str">
        <x:v>Accounts Payable Officer</x:v>
      </x:c>
      <x:c r="E261" t="str">
        <x:v>Clerical L2–L4</x:v>
      </x:c>
      <x:c r="F261" t="str">
        <x:v>Restaurant or Hospitality General / other</x:v>
      </x:c>
      <x:c r="G261" t="str">
        <x:v>Indicative only—classification must follow actual duties, coverage and qualifications.</x:v>
      </x:c>
      <x:c r="H261" t="str">
        <x:v>https://awards.fairwork.gov.au/MA000119.html</x:v>
      </x:c>
    </x:row>
    <x:row r="262" ht="20" customHeight="1">
      <x:c r="A262" t="str">
        <x:v>HC-0261</x:v>
      </x:c>
      <x:c r="B262" t="str">
        <x:v>Sales marketing finance admin and HR</x:v>
      </x:c>
      <x:c r="C262" s="24" t="n">
        <x:v>6</x:v>
      </x:c>
      <x:c r="D262" t="str">
        <x:v>Accounts Receivable Officer</x:v>
      </x:c>
      <x:c r="E262" t="str">
        <x:v>Clerical L2–L4</x:v>
      </x:c>
      <x:c r="F262" t="str">
        <x:v>Restaurant or Hospitality General / other</x:v>
      </x:c>
      <x:c r="G262" t="str">
        <x:v>Indicative only—classification must follow actual duties, coverage and qualifications.</x:v>
      </x:c>
      <x:c r="H262" t="str">
        <x:v>https://awards.fairwork.gov.au/MA000119.html</x:v>
      </x:c>
    </x:row>
    <x:row r="263" ht="20" customHeight="1">
      <x:c r="A263" t="str">
        <x:v>HC-0262</x:v>
      </x:c>
      <x:c r="B263" t="str">
        <x:v>Sales marketing finance admin and HR</x:v>
      </x:c>
      <x:c r="C263" s="24" t="n">
        <x:v>6</x:v>
      </x:c>
      <x:c r="D263" t="str">
        <x:v>Payroll Officer</x:v>
      </x:c>
      <x:c r="E263" t="str">
        <x:v>Clerical L2–L4</x:v>
      </x:c>
      <x:c r="F263" t="str">
        <x:v>Restaurant or Hospitality General / other</x:v>
      </x:c>
      <x:c r="G263" t="str">
        <x:v>Indicative only—classification must follow actual duties, coverage and qualifications.</x:v>
      </x:c>
      <x:c r="H263" t="str">
        <x:v>https://awards.fairwork.gov.au/MA000119.html</x:v>
      </x:c>
    </x:row>
    <x:row r="264" ht="20" customHeight="1">
      <x:c r="A264" t="str">
        <x:v>HC-0263</x:v>
      </x:c>
      <x:c r="B264" t="str">
        <x:v>Sales marketing finance admin and HR</x:v>
      </x:c>
      <x:c r="C264" s="24" t="n">
        <x:v>6</x:v>
      </x:c>
      <x:c r="D264" t="str">
        <x:v>HR Coordinator</x:v>
      </x:c>
      <x:c r="E264" t="str">
        <x:v>Clerical / other award—review</x:v>
      </x:c>
      <x:c r="F264" t="str">
        <x:v>Restaurant or Hospitality General / other</x:v>
      </x:c>
      <x:c r="G264" t="str">
        <x:v>No automatic pay level from job title; review award coverage and managerial exclusion.</x:v>
      </x:c>
      <x:c r="H264" t="str">
        <x:v>https://awards.fairwork.gov.au/MA000119.html</x:v>
      </x:c>
    </x:row>
    <x:row r="265" ht="20" customHeight="1">
      <x:c r="A265" t="str">
        <x:v>HC-0264</x:v>
      </x:c>
      <x:c r="B265" t="str">
        <x:v>Sales marketing finance admin and HR</x:v>
      </x:c>
      <x:c r="C265" s="24" t="n">
        <x:v>6</x:v>
      </x:c>
      <x:c r="D265" t="str">
        <x:v>Social Media Coordinator</x:v>
      </x:c>
      <x:c r="E265" t="str">
        <x:v>Clerical / professional—review</x:v>
      </x:c>
      <x:c r="F265" t="str">
        <x:v>Restaurant or Hospitality General / other</x:v>
      </x:c>
      <x:c r="G265" t="str">
        <x:v>No automatic pay level from job title; review award coverage and managerial exclusion.</x:v>
      </x:c>
      <x:c r="H265" t="str">
        <x:v>https://awards.fairwork.gov.au/MA000119.html</x:v>
      </x:c>
    </x:row>
    <x:row r="266" ht="20" customHeight="1">
      <x:c r="A266" t="str">
        <x:v>HC-0265</x:v>
      </x:c>
      <x:c r="B266" t="str">
        <x:v>Sales marketing finance admin and HR</x:v>
      </x:c>
      <x:c r="C266" s="24" t="n">
        <x:v>6</x:v>
      </x:c>
      <x:c r="D266" t="str">
        <x:v>Reservations Sales Agent</x:v>
      </x:c>
      <x:c r="E266" t="str">
        <x:v>Clerical / front office—review</x:v>
      </x:c>
      <x:c r="F266" t="str">
        <x:v>Restaurant or Hospitality General / other</x:v>
      </x:c>
      <x:c r="G266" t="str">
        <x:v>No automatic pay level from job title; review award coverage and managerial exclusion.</x:v>
      </x:c>
      <x:c r="H266" t="str">
        <x:v>https://awards.fairwork.gov.au/MA000119.html</x:v>
      </x:c>
    </x:row>
    <x:row r="267" ht="20" customHeight="1">
      <x:c r="A267" t="str">
        <x:v>HC-0266</x:v>
      </x:c>
      <x:c r="B267" t="str">
        <x:v>Sales marketing finance admin and HR</x:v>
      </x:c>
      <x:c r="C267" s="24" t="n">
        <x:v>7</x:v>
      </x:c>
      <x:c r="D267" t="str">
        <x:v>Clerical Assistant</x:v>
      </x:c>
      <x:c r="E267" t="str">
        <x:v>Clerical L2–L3</x:v>
      </x:c>
      <x:c r="F267" t="str">
        <x:v>Restaurant or Hospitality General / other</x:v>
      </x:c>
      <x:c r="G267" t="str">
        <x:v>Indicative only—classification must follow actual duties, coverage and qualifications.</x:v>
      </x:c>
      <x:c r="H267" t="str">
        <x:v>https://awards.fairwork.gov.au/MA000119.html</x:v>
      </x:c>
    </x:row>
    <x:row r="268" ht="20" customHeight="1">
      <x:c r="A268" t="str">
        <x:v>HC-0267</x:v>
      </x:c>
      <x:c r="B268" t="str">
        <x:v>Sales marketing finance admin and HR</x:v>
      </x:c>
      <x:c r="C268" s="24" t="n">
        <x:v>7</x:v>
      </x:c>
      <x:c r="D268" t="str">
        <x:v>Data Entry Clerk</x:v>
      </x:c>
      <x:c r="E268" t="str">
        <x:v>Clerical L2–L3</x:v>
      </x:c>
      <x:c r="F268" t="str">
        <x:v>Restaurant or Hospitality General / other</x:v>
      </x:c>
      <x:c r="G268" t="str">
        <x:v>Indicative only—classification must follow actual duties, coverage and qualifications.</x:v>
      </x:c>
      <x:c r="H268" t="str">
        <x:v>https://awards.fairwork.gov.au/MA000119.html</x:v>
      </x:c>
    </x:row>
    <x:row r="269" ht="20" customHeight="1">
      <x:c r="A269" t="str">
        <x:v>HC-0268</x:v>
      </x:c>
      <x:c r="B269" t="str">
        <x:v>Maintenance security wellness and stores</x:v>
      </x:c>
      <x:c r="C269" s="24" t="n">
        <x:v>3</x:v>
      </x:c>
      <x:c r="D269" t="str">
        <x:v>Facilities / Engineering Director</x:v>
      </x:c>
      <x:c r="E269" t="str">
        <x:v>Management—review</x:v>
      </x:c>
      <x:c r="F269" t="str">
        <x:v>Restaurant or Hospitality General / other</x:v>
      </x:c>
      <x:c r="G269" t="str">
        <x:v>No automatic pay level from job title; review award coverage and managerial exclusion.</x:v>
      </x:c>
      <x:c r="H269" t="str">
        <x:v>https://awards.fairwork.gov.au/MA000119.html</x:v>
      </x:c>
    </x:row>
    <x:row r="270" ht="20" customHeight="1">
      <x:c r="A270" t="str">
        <x:v>HC-0269</x:v>
      </x:c>
      <x:c r="B270" t="str">
        <x:v>Maintenance security wellness and stores</x:v>
      </x:c>
      <x:c r="C270" s="24" t="n">
        <x:v>4</x:v>
      </x:c>
      <x:c r="D270" t="str">
        <x:v>Maintenance Manager</x:v>
      </x:c>
      <x:c r="E270" t="str">
        <x:v>Management / trades—review</x:v>
      </x:c>
      <x:c r="F270" t="str">
        <x:v>Restaurant or Hospitality General / other</x:v>
      </x:c>
      <x:c r="G270" t="str">
        <x:v>No automatic pay level from job title; review award coverage and managerial exclusion.</x:v>
      </x:c>
      <x:c r="H270" t="str">
        <x:v>https://awards.fairwork.gov.au/MA000119.html</x:v>
      </x:c>
    </x:row>
    <x:row r="271" ht="20" customHeight="1">
      <x:c r="A271" t="str">
        <x:v>HC-0270</x:v>
      </x:c>
      <x:c r="B271" t="str">
        <x:v>Maintenance security wellness and stores</x:v>
      </x:c>
      <x:c r="C271" s="24" t="n">
        <x:v>4</x:v>
      </x:c>
      <x:c r="D271" t="str">
        <x:v>Security Manager</x:v>
      </x:c>
      <x:c r="E271" t="str">
        <x:v>Management / security award—review</x:v>
      </x:c>
      <x:c r="F271" t="str">
        <x:v>Restaurant or Hospitality General / other</x:v>
      </x:c>
      <x:c r="G271" t="str">
        <x:v>No automatic pay level from job title; review award coverage and managerial exclusion.</x:v>
      </x:c>
      <x:c r="H271" t="str">
        <x:v>https://awards.fairwork.gov.au/MA000119.html</x:v>
      </x:c>
    </x:row>
    <x:row r="272" ht="20" customHeight="1">
      <x:c r="A272" t="str">
        <x:v>HC-0271</x:v>
      </x:c>
      <x:c r="B272" t="str">
        <x:v>Maintenance security wellness and stores</x:v>
      </x:c>
      <x:c r="C272" s="24" t="n">
        <x:v>4</x:v>
      </x:c>
      <x:c r="D272" t="str">
        <x:v>Spa / Leisure Manager</x:v>
      </x:c>
      <x:c r="E272" t="str">
        <x:v>Management—review</x:v>
      </x:c>
      <x:c r="F272" t="str">
        <x:v>Restaurant or Hospitality General / other</x:v>
      </x:c>
      <x:c r="G272" t="str">
        <x:v>No automatic pay level from job title; review award coverage and managerial exclusion.</x:v>
      </x:c>
      <x:c r="H272" t="str">
        <x:v>https://awards.fairwork.gov.au/MA000119.html</x:v>
      </x:c>
    </x:row>
    <x:row r="273" ht="20" customHeight="1">
      <x:c r="A273" t="str">
        <x:v>HC-0272</x:v>
      </x:c>
      <x:c r="B273" t="str">
        <x:v>Maintenance security wellness and stores</x:v>
      </x:c>
      <x:c r="C273" s="24" t="n">
        <x:v>5</x:v>
      </x:c>
      <x:c r="D273" t="str">
        <x:v>Maintenance Supervisor</x:v>
      </x:c>
      <x:c r="E273" t="str">
        <x:v>Trades / award—review</x:v>
      </x:c>
      <x:c r="F273" t="str">
        <x:v>Restaurant or Hospitality General / other</x:v>
      </x:c>
      <x:c r="G273" t="str">
        <x:v>No automatic pay level from job title; review award coverage and managerial exclusion.</x:v>
      </x:c>
      <x:c r="H273" t="str">
        <x:v>https://awards.fairwork.gov.au/MA000119.html</x:v>
      </x:c>
    </x:row>
    <x:row r="274" ht="20" customHeight="1">
      <x:c r="A274" t="str">
        <x:v>HC-0273</x:v>
      </x:c>
      <x:c r="B274" t="str">
        <x:v>Maintenance security wellness and stores</x:v>
      </x:c>
      <x:c r="C274" s="24" t="n">
        <x:v>5</x:v>
      </x:c>
      <x:c r="D274" t="str">
        <x:v>Stores Supervisor</x:v>
      </x:c>
      <x:c r="E274" t="str">
        <x:v>Storeperson L4 (duties-based)</x:v>
      </x:c>
      <x:c r="F274" t="str">
        <x:v>Restaurant or Hospitality General / other</x:v>
      </x:c>
      <x:c r="G274" t="str">
        <x:v>Indicative only—classification must follow actual duties, coverage and qualifications.</x:v>
      </x:c>
      <x:c r="H274" t="str">
        <x:v>https://awards.fairwork.gov.au/MA000119.html</x:v>
      </x:c>
    </x:row>
    <x:row r="275" ht="20" customHeight="1">
      <x:c r="A275" t="str">
        <x:v>HC-0274</x:v>
      </x:c>
      <x:c r="B275" t="str">
        <x:v>Maintenance security wellness and stores</x:v>
      </x:c>
      <x:c r="C275" s="24" t="n">
        <x:v>5</x:v>
      </x:c>
      <x:c r="D275" t="str">
        <x:v>Security Supervisor</x:v>
      </x:c>
      <x:c r="E275" t="str">
        <x:v>Security / hospitality award—review</x:v>
      </x:c>
      <x:c r="F275" t="str">
        <x:v>Restaurant or Hospitality General / other</x:v>
      </x:c>
      <x:c r="G275" t="str">
        <x:v>No automatic pay level from job title; review award coverage and managerial exclusion.</x:v>
      </x:c>
      <x:c r="H275" t="str">
        <x:v>https://awards.fairwork.gov.au/MA000119.html</x:v>
      </x:c>
    </x:row>
    <x:row r="276" ht="20" customHeight="1">
      <x:c r="A276" t="str">
        <x:v>HC-0275</x:v>
      </x:c>
      <x:c r="B276" t="str">
        <x:v>Maintenance security wellness and stores</x:v>
      </x:c>
      <x:c r="C276" s="24" t="n">
        <x:v>5</x:v>
      </x:c>
      <x:c r="D276" t="str">
        <x:v>Leisure Activities Supervisor</x:v>
      </x:c>
      <x:c r="E276" t="str">
        <x:v>Leisure L4–L5</x:v>
      </x:c>
      <x:c r="F276" t="str">
        <x:v>Restaurant or Hospitality General / other</x:v>
      </x:c>
      <x:c r="G276" t="str">
        <x:v>Indicative only—classification must follow actual duties, coverage and qualifications.</x:v>
      </x:c>
      <x:c r="H276" t="str">
        <x:v>https://awards.fairwork.gov.au/MA000119.html</x:v>
      </x:c>
    </x:row>
    <x:row r="277" ht="20" customHeight="1">
      <x:c r="A277" t="str">
        <x:v>HC-0276</x:v>
      </x:c>
      <x:c r="B277" t="str">
        <x:v>Maintenance security wellness and stores</x:v>
      </x:c>
      <x:c r="C277" s="24" t="n">
        <x:v>6</x:v>
      </x:c>
      <x:c r="D277" t="str">
        <x:v>Maintenance Technician / Handyperson</x:v>
      </x:c>
      <x:c r="E277" t="str">
        <x:v>L3 or other award—review</x:v>
      </x:c>
      <x:c r="F277" t="str">
        <x:v>Restaurant or Hospitality General / other</x:v>
      </x:c>
      <x:c r="G277" t="str">
        <x:v>No automatic pay level from job title; review award coverage and managerial exclusion.</x:v>
      </x:c>
      <x:c r="H277" t="str">
        <x:v>https://awards.fairwork.gov.au/MA000119.html</x:v>
      </x:c>
    </x:row>
    <x:row r="278" ht="20" customHeight="1">
      <x:c r="A278" t="str">
        <x:v>HC-0277</x:v>
      </x:c>
      <x:c r="B278" t="str">
        <x:v>Maintenance security wellness and stores</x:v>
      </x:c>
      <x:c r="C278" s="24" t="n">
        <x:v>6</x:v>
      </x:c>
      <x:c r="D278" t="str">
        <x:v>Electrician</x:v>
      </x:c>
      <x:c r="E278" t="str">
        <x:v>Electrical award / review</x:v>
      </x:c>
      <x:c r="F278" t="str">
        <x:v>Restaurant or Hospitality General / other</x:v>
      </x:c>
      <x:c r="G278" t="str">
        <x:v>No automatic pay level from job title; review award coverage and managerial exclusion.</x:v>
      </x:c>
      <x:c r="H278" t="str">
        <x:v>https://awards.fairwork.gov.au/MA000119.html</x:v>
      </x:c>
    </x:row>
    <x:row r="279" ht="20" customHeight="1">
      <x:c r="A279" t="str">
        <x:v>HC-0278</x:v>
      </x:c>
      <x:c r="B279" t="str">
        <x:v>Maintenance security wellness and stores</x:v>
      </x:c>
      <x:c r="C279" s="24" t="n">
        <x:v>6</x:v>
      </x:c>
      <x:c r="D279" t="str">
        <x:v>Plumber</x:v>
      </x:c>
      <x:c r="E279" t="str">
        <x:v>Plumbing award / review</x:v>
      </x:c>
      <x:c r="F279" t="str">
        <x:v>Restaurant or Hospitality General / other</x:v>
      </x:c>
      <x:c r="G279" t="str">
        <x:v>No automatic pay level from job title; review award coverage and managerial exclusion.</x:v>
      </x:c>
      <x:c r="H279" t="str">
        <x:v>https://awards.fairwork.gov.au/MA000119.html</x:v>
      </x:c>
    </x:row>
    <x:row r="280" ht="20" customHeight="1">
      <x:c r="A280" t="str">
        <x:v>HC-0279</x:v>
      </x:c>
      <x:c r="B280" t="str">
        <x:v>Maintenance security wellness and stores</x:v>
      </x:c>
      <x:c r="C280" s="24" t="n">
        <x:v>6</x:v>
      </x:c>
      <x:c r="D280" t="str">
        <x:v>HVAC Technician</x:v>
      </x:c>
      <x:c r="E280" t="str">
        <x:v>Trade award / review</x:v>
      </x:c>
      <x:c r="F280" t="str">
        <x:v>Restaurant or Hospitality General / other</x:v>
      </x:c>
      <x:c r="G280" t="str">
        <x:v>No automatic pay level from job title; review award coverage and managerial exclusion.</x:v>
      </x:c>
      <x:c r="H280" t="str">
        <x:v>https://awards.fairwork.gov.au/MA000119.html</x:v>
      </x:c>
    </x:row>
    <x:row r="281" ht="20" customHeight="1">
      <x:c r="A281" t="str">
        <x:v>HC-0280</x:v>
      </x:c>
      <x:c r="B281" t="str">
        <x:v>Maintenance security wellness and stores</x:v>
      </x:c>
      <x:c r="C281" s="24" t="n">
        <x:v>6</x:v>
      </x:c>
      <x:c r="D281" t="str">
        <x:v>Gardener / Groundskeeper</x:v>
      </x:c>
      <x:c r="E281" t="str">
        <x:v>Gardener L2–L5 (coverage review)</x:v>
      </x:c>
      <x:c r="F281" t="str">
        <x:v>Restaurant or Hospitality General / other</x:v>
      </x:c>
      <x:c r="G281" t="str">
        <x:v>No automatic pay level from job title; review award coverage and managerial exclusion.</x:v>
      </x:c>
      <x:c r="H281" t="str">
        <x:v>https://awards.fairwork.gov.au/MA000119.html</x:v>
      </x:c>
    </x:row>
    <x:row r="282" ht="20" customHeight="1">
      <x:c r="A282" t="str">
        <x:v>HC-0281</x:v>
      </x:c>
      <x:c r="B282" t="str">
        <x:v>Maintenance security wellness and stores</x:v>
      </x:c>
      <x:c r="C282" s="24" t="n">
        <x:v>6</x:v>
      </x:c>
      <x:c r="D282" t="str">
        <x:v>Warehouse / Stores Officer</x:v>
      </x:c>
      <x:c r="E282" t="str">
        <x:v>Storeperson L2–L4</x:v>
      </x:c>
      <x:c r="F282" t="str">
        <x:v>Restaurant or Hospitality General / other</x:v>
      </x:c>
      <x:c r="G282" t="str">
        <x:v>Indicative only—classification must follow actual duties, coverage and qualifications.</x:v>
      </x:c>
      <x:c r="H282" t="str">
        <x:v>https://awards.fairwork.gov.au/MA000119.html</x:v>
      </x:c>
    </x:row>
    <x:row r="283" ht="20" customHeight="1">
      <x:c r="A283" t="str">
        <x:v>HC-0282</x:v>
      </x:c>
      <x:c r="B283" t="str">
        <x:v>Maintenance security wellness and stores</x:v>
      </x:c>
      <x:c r="C283" s="24" t="n">
        <x:v>7</x:v>
      </x:c>
      <x:c r="D283" t="str">
        <x:v>Storeperson / Receiving Clerk</x:v>
      </x:c>
      <x:c r="E283" t="str">
        <x:v>Storeperson L2–L4</x:v>
      </x:c>
      <x:c r="F283" t="str">
        <x:v>Restaurant or Hospitality General / other</x:v>
      </x:c>
      <x:c r="G283" t="str">
        <x:v>Indicative only—classification must follow actual duties, coverage and qualifications.</x:v>
      </x:c>
      <x:c r="H283" t="str">
        <x:v>https://awards.fairwork.gov.au/MA000119.html</x:v>
      </x:c>
    </x:row>
    <x:row r="284" ht="20" customHeight="1">
      <x:c r="A284" t="str">
        <x:v>HC-0283</x:v>
      </x:c>
      <x:c r="B284" t="str">
        <x:v>Maintenance security wellness and stores</x:v>
      </x:c>
      <x:c r="C284" s="24" t="n">
        <x:v>7</x:v>
      </x:c>
      <x:c r="D284" t="str">
        <x:v>Doorperson / Security Officer</x:v>
      </x:c>
      <x:c r="E284" t="str">
        <x:v>Security stream L2–L3 (coverage review)</x:v>
      </x:c>
      <x:c r="F284" t="str">
        <x:v>Restaurant or Hospitality General / other</x:v>
      </x:c>
      <x:c r="G284" t="str">
        <x:v>No automatic pay level from job title; review award coverage and managerial exclusion.</x:v>
      </x:c>
      <x:c r="H284" t="str">
        <x:v>https://awards.fairwork.gov.au/MA000119.html</x:v>
      </x:c>
    </x:row>
    <x:row r="285" ht="20" customHeight="1">
      <x:c r="A285" t="str">
        <x:v>HC-0284</x:v>
      </x:c>
      <x:c r="B285" t="str">
        <x:v>Maintenance security wellness and stores</x:v>
      </x:c>
      <x:c r="C285" s="24" t="n">
        <x:v>7</x:v>
      </x:c>
      <x:c r="D285" t="str">
        <x:v>Pool / Leisure Attendant</x:v>
      </x:c>
      <x:c r="E285" t="str">
        <x:v>Leisure stream L2–L4</x:v>
      </x:c>
      <x:c r="F285" t="str">
        <x:v>Restaurant or Hospitality General / other</x:v>
      </x:c>
      <x:c r="G285" t="str">
        <x:v>Indicative only—classification must follow actual duties, coverage and qualifications.</x:v>
      </x:c>
      <x:c r="H285" t="str">
        <x:v>https://awards.fairwork.gov.au/MA000119.html</x:v>
      </x:c>
    </x:row>
    <x:row r="286" ht="20" customHeight="1">
      <x:c r="A286" t="str">
        <x:v>HC-0285</x:v>
      </x:c>
      <x:c r="B286" t="str">
        <x:v>Maintenance security wellness and stores</x:v>
      </x:c>
      <x:c r="C286" s="24" t="n">
        <x:v>7</x:v>
      </x:c>
      <x:c r="D286" t="str">
        <x:v>Spa Attendant</x:v>
      </x:c>
      <x:c r="E286" t="str">
        <x:v>Leisure / other—review</x:v>
      </x:c>
      <x:c r="F286" t="str">
        <x:v>Restaurant or Hospitality General / other</x:v>
      </x:c>
      <x:c r="G286" t="str">
        <x:v>No automatic pay level from job title; review award coverage and managerial exclusion.</x:v>
      </x:c>
      <x:c r="H286" t="str">
        <x:v>https://awards.fairwork.gov.au/MA000119.html</x:v>
      </x:c>
    </x:row>
    <x:row r="287" ht="20" customHeight="1">
      <x:c r="A287" t="str">
        <x:v>HC-0286</x:v>
      </x:c>
      <x:c r="B287" t="str">
        <x:v>Maintenance security wellness and stores</x:v>
      </x:c>
      <x:c r="C287" s="24" t="n">
        <x:v>7</x:v>
      </x:c>
      <x:c r="D287" t="str">
        <x:v>Fitness Instructor</x:v>
      </x:c>
      <x:c r="E287" t="str">
        <x:v>Club / other award—review</x:v>
      </x:c>
      <x:c r="F287" t="str">
        <x:v>Restaurant or Hospitality General / other</x:v>
      </x:c>
      <x:c r="G287" t="str">
        <x:v>No automatic pay level from job title; review award coverage and managerial exclusion.</x:v>
      </x:c>
      <x:c r="H287" t="str">
        <x:v>https://awards.fairwork.gov.au/MA000119.html</x:v>
      </x:c>
    </x:row>
    <x:row r="288" ht="20" customHeight="1">
      <x:c r="A288" t="str">
        <x:v>HC-0287</x:v>
      </x:c>
      <x:c r="B288" t="str">
        <x:v>Maintenance security wellness and stores</x:v>
      </x:c>
      <x:c r="C288" s="24" t="n">
        <x:v>7</x:v>
      </x:c>
      <x:c r="D288" t="str">
        <x:v>Valet / Car Park Attendant</x:v>
      </x:c>
      <x:c r="E288" t="str">
        <x:v>Guest services / other—review</x:v>
      </x:c>
      <x:c r="F288" t="str">
        <x:v>Restaurant or Hospitality General / other</x:v>
      </x:c>
      <x:c r="G288" t="str">
        <x:v>No automatic pay level from job title; review award coverage and managerial exclusion.</x:v>
      </x:c>
      <x:c r="H288" t="str">
        <x:v>https://awards.fairwork.gov.au/MA000119.html</x:v>
      </x:c>
    </x:row>
  </x:sheetData>
  <x:pageMargins left="0.7" right="0.7" top="0.75" bottom="0.75" header="0.3" footer="0.3"/>
  <x:tableParts count="1">
    <x:tablePart xmlns:r="http://schemas.openxmlformats.org/officeDocument/2006/relationships" r:id="R99c566fce325468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18" hidden="0" customWidth="1"/>
    <x:col min="3" max="3" width="80" hidden="0" customWidth="1"/>
    <x:col min="4" max="4" width="20" hidden="0" customWidth="1"/>
    <x:col min="5" max="5" width="20" hidden="0" customWidth="1"/>
    <x:col min="6" max="6" width="25" hidden="0" customWidth="1"/>
    <x:col min="7" max="7" width="25" hidden="0" customWidth="1"/>
    <x:col min="8" max="8" width="55" hidden="0" customWidth="1"/>
  </x:cols>
  <x:sheetData>
    <x:row r="1" ht="32" customHeight="1">
      <x:c r="A1" s="21" t="str">
        <x:v>Award</x:v>
      </x:c>
      <x:c r="B1" s="21" t="str">
        <x:v>Classification</x:v>
      </x:c>
      <x:c r="C1" s="21" t="str">
        <x:v>Typical work stream / grade</x:v>
      </x:c>
      <x:c r="D1" s="21" t="str">
        <x:v>Permanent $/week</x:v>
      </x:c>
      <x:c r="E1" s="21" t="str">
        <x:v>Permanent $/hour</x:v>
      </x:c>
      <x:c r="F1" s="21" t="str">
        <x:v>Casual weekday $/hour</x:v>
      </x:c>
      <x:c r="G1" s="21" t="str">
        <x:v>Illustrative 52-week base</x:v>
      </x:c>
      <x:c r="H1" s="21" t="str">
        <x:v>Official source URL</x:v>
      </x:c>
    </x:row>
    <x:row r="2">
      <x:c r="A2" t="str">
        <x:v>Restaurant Industry Award | MA000119</x:v>
      </x:c>
      <x:c r="B2" t="str">
        <x:v>Introductory</x:v>
      </x:c>
      <x:c r="C2" t="str">
        <x:v>New entrant—restricted introductory period</x:v>
      </x:c>
      <x:c r="D2" s="26" t="n">
        <x:v>978.1</x:v>
      </x:c>
      <x:c r="E2" s="26" t="n">
        <x:v>25.74</x:v>
      </x:c>
      <x:c r="F2" s="26" t="n">
        <x:v>32.18</x:v>
      </x:c>
      <x:c r="G2" s="26" t="n">
        <x:f>D2*52</x:f>
        <x:v>50861.200000000004</x:v>
      </x:c>
      <x:c r="H2" t="str">
        <x:v>https://awards.fairwork.gov.au/MA000119.html</x:v>
      </x:c>
    </x:row>
    <x:row r="3">
      <x:c r="A3" t="str">
        <x:v>Restaurant Industry Award | MA000119</x:v>
      </x:c>
      <x:c r="B3" t="str">
        <x:v>Level 1</x:v>
      </x:c>
      <x:c r="C3" t="str">
        <x:v>Food &amp; beverage grade 1; kitchen attendant grade 1; guest service grade 1</x:v>
      </x:c>
      <x:c r="D3" s="26" t="n">
        <x:v>1004.9</x:v>
      </x:c>
      <x:c r="E3" s="26" t="n">
        <x:v>26.44</x:v>
      </x:c>
      <x:c r="F3" s="26" t="n">
        <x:v>33.05</x:v>
      </x:c>
      <x:c r="G3" s="26" t="n">
        <x:f>D3*52</x:f>
        <x:v>52254.799999999996</x:v>
      </x:c>
      <x:c r="H3" t="str">
        <x:v>https://awards.fairwork.gov.au/MA000119.html</x:v>
      </x:c>
    </x:row>
    <x:row r="4">
      <x:c r="A4" t="str">
        <x:v>Restaurant Industry Award | MA000119</x:v>
      </x:c>
      <x:c r="B4" t="str">
        <x:v>Level 2</x:v>
      </x:c>
      <x:c r="C4" t="str">
        <x:v>F&amp;B grade 2; cook grade 1; kitchen grade 2; clerical/guest/front office etc.</x:v>
      </x:c>
      <x:c r="D4" s="26" t="n">
        <x:v>1029.1</x:v>
      </x:c>
      <x:c r="E4" s="26" t="n">
        <x:v>27.08</x:v>
      </x:c>
      <x:c r="F4" s="26" t="n">
        <x:v>33.85</x:v>
      </x:c>
      <x:c r="G4" s="26" t="n">
        <x:f>D4*52</x:f>
        <x:v>53513.2</x:v>
      </x:c>
      <x:c r="H4" t="str">
        <x:v>https://awards.fairwork.gov.au/MA000119.html</x:v>
      </x:c>
    </x:row>
    <x:row r="5">
      <x:c r="A5" t="str">
        <x:v>Restaurant Industry Award | MA000119</x:v>
      </x:c>
      <x:c r="B5" t="str">
        <x:v>Level 3</x:v>
      </x:c>
      <x:c r="C5" t="str">
        <x:v>F&amp;B grade 3; cook grade 2; kitchen grade 3; clerical/front office etc.</x:v>
      </x:c>
      <x:c r="D5" s="26" t="n">
        <x:v>1062.9</x:v>
      </x:c>
      <x:c r="E5" s="26" t="n">
        <x:v>27.97</x:v>
      </x:c>
      <x:c r="F5" s="26" t="n">
        <x:v>34.96</x:v>
      </x:c>
      <x:c r="G5" s="26" t="n">
        <x:f>D5*52</x:f>
        <x:v>55270.8</x:v>
      </x:c>
      <x:c r="H5" t="str">
        <x:v>https://awards.fairwork.gov.au/MA000119.html</x:v>
      </x:c>
    </x:row>
    <x:row r="6">
      <x:c r="A6" t="str">
        <x:v>Restaurant Industry Award | MA000119</x:v>
      </x:c>
      <x:c r="B6" t="str">
        <x:v>Level 4</x:v>
      </x:c>
      <x:c r="C6" t="str">
        <x:v>Trade-qualified commis chef; skilled specialist fine-dining attendant; front office grade 3</x:v>
      </x:c>
      <x:c r="D6" s="26" t="n">
        <x:v>1119.1</x:v>
      </x:c>
      <x:c r="E6" s="26" t="n">
        <x:v>29.45</x:v>
      </x:c>
      <x:c r="F6" s="26" t="n">
        <x:v>36.81</x:v>
      </x:c>
      <x:c r="G6" s="26" t="n">
        <x:f>D6*52</x:f>
        <x:v>58193.2</x:v>
      </x:c>
      <x:c r="H6" t="str">
        <x:v>https://awards.fairwork.gov.au/MA000119.html</x:v>
      </x:c>
    </x:row>
    <x:row r="7">
      <x:c r="A7" t="str">
        <x:v>Restaurant Industry Award | MA000119</x:v>
      </x:c>
      <x:c r="B7" t="str">
        <x:v>Level 5</x:v>
      </x:c>
      <x:c r="C7" t="str">
        <x:v>Demi chef; food and beverage supervisor; front office supervisor; clerical supervisor</x:v>
      </x:c>
      <x:c r="D7" s="26" t="n">
        <x:v>1189.4</x:v>
      </x:c>
      <x:c r="E7" s="26" t="n">
        <x:v>31.3</x:v>
      </x:c>
      <x:c r="F7" s="26" t="n">
        <x:v>39.13</x:v>
      </x:c>
      <x:c r="G7" s="26" t="n">
        <x:f>D7*52</x:f>
        <x:v>61848.8</x:v>
      </x:c>
      <x:c r="H7" t="str">
        <x:v>https://awards.fairwork.gov.au/MA000119.html</x:v>
      </x:c>
    </x:row>
    <x:row r="8">
      <x:c r="A8" t="str">
        <x:v>Restaurant Industry Award | MA000119</x:v>
      </x:c>
      <x:c r="B8" t="str">
        <x:v>Level 6</x:v>
      </x:c>
      <x:c r="C8" t="str">
        <x:v>Chef de partie / cook grade 5</x:v>
      </x:c>
      <x:c r="D8" s="26" t="n">
        <x:v>1221.1</x:v>
      </x:c>
      <x:c r="E8" s="26" t="n">
        <x:v>32.13</x:v>
      </x:c>
      <x:c r="F8" s="26" t="n">
        <x:v>40.16</x:v>
      </x:c>
      <x:c r="G8" s="26" t="n">
        <x:f>D8*52</x:f>
        <x:v>63497.2</x:v>
      </x:c>
      <x:c r="H8" t="str">
        <x:v>https://awards.fairwork.gov.au/MA000119.html</x:v>
      </x:c>
    </x:row>
    <x:row r="9">
      <x:c r="A9" t="str">
        <x:v>Hospitality Industry General Award | MA000009</x:v>
      </x:c>
      <x:c r="B9" t="str">
        <x:v>Introductory</x:v>
      </x:c>
      <x:c r="C9" t="str">
        <x:v>New entrant—restricted introductory period</x:v>
      </x:c>
      <x:c r="D9" s="26" t="n">
        <x:v>978.1</x:v>
      </x:c>
      <x:c r="E9" s="26" t="n">
        <x:v>25.74</x:v>
      </x:c>
      <x:c r="F9" s="26" t="n">
        <x:v>32.18</x:v>
      </x:c>
      <x:c r="G9" s="26" t="n">
        <x:f>D9*52</x:f>
        <x:v>50861.200000000004</x:v>
      </x:c>
      <x:c r="H9" t="str">
        <x:v>https://awards.fairwork.gov.au/MA000009.html</x:v>
      </x:c>
    </x:row>
    <x:row r="10">
      <x:c r="A10" t="str">
        <x:v>Hospitality Industry General Award | MA000009</x:v>
      </x:c>
      <x:c r="B10" t="str">
        <x:v>Level 1</x:v>
      </x:c>
      <x:c r="C10" t="str">
        <x:v>Food &amp; beverage grade 1; kitchen attendant grade 1; guest service grade 1</x:v>
      </x:c>
      <x:c r="D10" s="26" t="n">
        <x:v>1004.9</x:v>
      </x:c>
      <x:c r="E10" s="26" t="n">
        <x:v>26.44</x:v>
      </x:c>
      <x:c r="F10" s="26" t="n">
        <x:v>33.05</x:v>
      </x:c>
      <x:c r="G10" s="26" t="n">
        <x:f>D10*52</x:f>
        <x:v>52254.799999999996</x:v>
      </x:c>
      <x:c r="H10" t="str">
        <x:v>https://awards.fairwork.gov.au/MA000009.html</x:v>
      </x:c>
    </x:row>
    <x:row r="11">
      <x:c r="A11" t="str">
        <x:v>Hospitality Industry General Award | MA000009</x:v>
      </x:c>
      <x:c r="B11" t="str">
        <x:v>Level 2</x:v>
      </x:c>
      <x:c r="C11" t="str">
        <x:v>F&amp;B grade 2; cook grade 1; kitchen grade 2; clerical/guest/front office etc.</x:v>
      </x:c>
      <x:c r="D11" s="26" t="n">
        <x:v>1029.1</x:v>
      </x:c>
      <x:c r="E11" s="26" t="n">
        <x:v>27.08</x:v>
      </x:c>
      <x:c r="F11" s="26" t="n">
        <x:v>33.85</x:v>
      </x:c>
      <x:c r="G11" s="26" t="n">
        <x:f>D11*52</x:f>
        <x:v>53513.2</x:v>
      </x:c>
      <x:c r="H11" t="str">
        <x:v>https://awards.fairwork.gov.au/MA000009.html</x:v>
      </x:c>
    </x:row>
    <x:row r="12">
      <x:c r="A12" t="str">
        <x:v>Hospitality Industry General Award | MA000009</x:v>
      </x:c>
      <x:c r="B12" t="str">
        <x:v>Level 3</x:v>
      </x:c>
      <x:c r="C12" t="str">
        <x:v>F&amp;B grade 3; cook grade 2; kitchen grade 3; clerical/front office etc.</x:v>
      </x:c>
      <x:c r="D12" s="26" t="n">
        <x:v>1062.9</x:v>
      </x:c>
      <x:c r="E12" s="26" t="n">
        <x:v>27.97</x:v>
      </x:c>
      <x:c r="F12" s="26" t="n">
        <x:v>34.96</x:v>
      </x:c>
      <x:c r="G12" s="26" t="n">
        <x:f>D12*52</x:f>
        <x:v>55270.8</x:v>
      </x:c>
      <x:c r="H12" t="str">
        <x:v>https://awards.fairwork.gov.au/MA000009.html</x:v>
      </x:c>
    </x:row>
    <x:row r="13">
      <x:c r="A13" t="str">
        <x:v>Hospitality Industry General Award | MA000009</x:v>
      </x:c>
      <x:c r="B13" t="str">
        <x:v>Level 4</x:v>
      </x:c>
      <x:c r="C13" t="str">
        <x:v>Trade-qualified commis chef; skilled specialist fine-dining attendant; front office grade 3</x:v>
      </x:c>
      <x:c r="D13" s="26" t="n">
        <x:v>1119.1</x:v>
      </x:c>
      <x:c r="E13" s="26" t="n">
        <x:v>29.45</x:v>
      </x:c>
      <x:c r="F13" s="26" t="n">
        <x:v>36.81</x:v>
      </x:c>
      <x:c r="G13" s="26" t="n">
        <x:f>D13*52</x:f>
        <x:v>58193.2</x:v>
      </x:c>
      <x:c r="H13" t="str">
        <x:v>https://awards.fairwork.gov.au/MA000009.html</x:v>
      </x:c>
    </x:row>
    <x:row r="14">
      <x:c r="A14" t="str">
        <x:v>Hospitality Industry General Award | MA000009</x:v>
      </x:c>
      <x:c r="B14" t="str">
        <x:v>Level 5</x:v>
      </x:c>
      <x:c r="C14" t="str">
        <x:v>Demi chef; food and beverage supervisor; front office supervisor; clerical supervisor</x:v>
      </x:c>
      <x:c r="D14" s="26" t="n">
        <x:v>1189.4</x:v>
      </x:c>
      <x:c r="E14" s="26" t="n">
        <x:v>31.3</x:v>
      </x:c>
      <x:c r="F14" s="26" t="n">
        <x:v>39.13</x:v>
      </x:c>
      <x:c r="G14" s="26" t="n">
        <x:f>D14*52</x:f>
        <x:v>61848.8</x:v>
      </x:c>
      <x:c r="H14" t="str">
        <x:v>https://awards.fairwork.gov.au/MA000009.html</x:v>
      </x:c>
    </x:row>
    <x:row r="15">
      <x:c r="A15" t="str">
        <x:v>Hospitality Industry General Award | MA000009</x:v>
      </x:c>
      <x:c r="B15" t="str">
        <x:v>Level 6</x:v>
      </x:c>
      <x:c r="C15" t="str">
        <x:v>Chef de partie / cook grade 5</x:v>
      </x:c>
      <x:c r="D15" s="26" t="n">
        <x:v>1221.1</x:v>
      </x:c>
      <x:c r="E15" s="26" t="n">
        <x:v>32.13</x:v>
      </x:c>
      <x:c r="F15" s="26" t="n">
        <x:v>40.16</x:v>
      </x:c>
      <x:c r="G15" s="26" t="n">
        <x:f>D15*52</x:f>
        <x:v>63497.2</x:v>
      </x:c>
      <x:c r="H15" t="str">
        <x:v>https://awards.fairwork.gov.au/MA000009.html</x:v>
      </x:c>
    </x:row>
  </x:sheetData>
  <x:pageMargins left="0.7" right="0.7" top="0.75" bottom="0.75" header="0.3" footer="0.3"/>
  <x:tableParts count="1">
    <x:tablePart xmlns:r="http://schemas.openxmlformats.org/officeDocument/2006/relationships" r:id="R88c716f0117043a7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23" hidden="0" customWidth="1"/>
    <x:col min="3" max="3" width="24" hidden="0" customWidth="1"/>
    <x:col min="4" max="4" width="38" hidden="0" customWidth="1"/>
    <x:col min="5" max="5" width="28" hidden="0" customWidth="1"/>
    <x:col min="6" max="6" width="75" hidden="0" customWidth="1"/>
    <x:col min="7" max="7" width="55" hidden="0" customWidth="1"/>
  </x:cols>
  <x:sheetData>
    <x:row r="1" ht="32" customHeight="1">
      <x:c r="A1" s="21" t="str">
        <x:v>Classification</x:v>
      </x:c>
      <x:c r="B1" s="21" t="str">
        <x:v>Permanent $/week</x:v>
      </x:c>
      <x:c r="C1" s="21" t="str">
        <x:v>Permanent $/hour</x:v>
      </x:c>
      <x:c r="D1" s="21" t="str">
        <x:v>Indicative casual ordinary $/hour*</x:v>
      </x:c>
      <x:c r="E1" s="21" t="str">
        <x:v>Illustrative 52-week base</x:v>
      </x:c>
      <x:c r="F1" s="21" t="str">
        <x:v>Coverage / caution</x:v>
      </x:c>
      <x:c r="G1" s="21" t="str">
        <x:v>Official award URL</x:v>
      </x:c>
    </x:row>
    <x:row r="2">
      <x:c r="A2" t="str">
        <x:v>Fast Food Employee level 1</x:v>
      </x:c>
      <x:c r="B2" s="26" t="n">
        <x:v>1056.8</x:v>
      </x:c>
      <x:c r="C2" s="26" t="n">
        <x:v>27.81</x:v>
      </x:c>
      <x:c r="D2" s="26" t="n">
        <x:f>ROUND(C2*1.25,2)</x:f>
        <x:v>34.76</x:v>
      </x:c>
      <x:c r="E2" s="26" t="n">
        <x:f>B2*52</x:f>
        <x:v>54953.6</x:v>
      </x:c>
      <x:c r="F2" t="str">
        <x:v>Casual ordinary includes 25% loading. Saturday rates are separately prescribed.</x:v>
      </x:c>
      <x:c r="G2" t="str">
        <x:v>https://awards.fairwork.gov.au/MA000003.html</x:v>
      </x:c>
    </x:row>
    <x:row r="3">
      <x:c r="A3" t="str">
        <x:v>Fast Food Employee level 2</x:v>
      </x:c>
      <x:c r="B3" s="26" t="n">
        <x:v>1119.1</x:v>
      </x:c>
      <x:c r="C3" s="26" t="n">
        <x:v>29.45</x:v>
      </x:c>
      <x:c r="D3" s="26" t="n">
        <x:f>ROUND(C3*1.25,2)</x:f>
        <x:v>36.81</x:v>
      </x:c>
      <x:c r="E3" s="26" t="n">
        <x:f>B3*52</x:f>
        <x:v>58193.2</x:v>
      </x:c>
      <x:c r="F3" t="str">
        <x:v>Casual ordinary includes 25% loading. Saturday rates are separately prescribed.</x:v>
      </x:c>
      <x:c r="G3" t="str">
        <x:v>https://awards.fairwork.gov.au/MA000003.html</x:v>
      </x:c>
    </x:row>
    <x:row r="4">
      <x:c r="A4" t="str">
        <x:v>Fast Food Employee level 3—in charge of ≤1</x:v>
      </x:c>
      <x:c r="B4" s="26" t="n">
        <x:v>1136.4</x:v>
      </x:c>
      <x:c r="C4" s="26" t="n">
        <x:v>29.91</x:v>
      </x:c>
      <x:c r="D4" s="26" t="n">
        <x:f>ROUND(C4*1.25,2)</x:f>
        <x:v>37.39</x:v>
      </x:c>
      <x:c r="E4" s="26" t="n">
        <x:f>B4*52</x:f>
        <x:v>59092.8</x:v>
      </x:c>
      <x:c r="F4" t="str">
        <x:v>Casual ordinary includes 25% loading. Saturday rates are separately prescribed.</x:v>
      </x:c>
      <x:c r="G4" t="str">
        <x:v>https://awards.fairwork.gov.au/MA000003.html</x:v>
      </x:c>
    </x:row>
    <x:row r="5">
      <x:c r="A5" t="str">
        <x:v>Fast Food Employee level 3—in charge of ≥2</x:v>
      </x:c>
      <x:c r="B5" s="26" t="n">
        <x:v>1150.4</x:v>
      </x:c>
      <x:c r="C5" s="26" t="n">
        <x:v>30.27</x:v>
      </x:c>
      <x:c r="D5" s="26" t="n">
        <x:f>ROUND(C5*1.25,2)</x:f>
        <x:v>37.84</x:v>
      </x:c>
      <x:c r="E5" s="26" t="n">
        <x:f>B5*52</x:f>
        <x:v>59820.8</x:v>
      </x:c>
      <x:c r="F5" t="str">
        <x:v>Casual ordinary includes 25% loading. Saturday rates are separately prescribed.</x:v>
      </x:c>
      <x:c r="G5" t="str">
        <x:v>https://awards.fairwork.gov.au/MA000003.html</x:v>
      </x:c>
    </x:row>
    <x:row r="7">
      <x:c r="A7" t="str">
        <x:v>*Check precise pay-guide rounding and day-specific penalties; this casual ordinary rate is calculated from the adult base.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61" hidden="0" customWidth="1"/>
    <x:col min="3" max="3" width="25" hidden="0" customWidth="1"/>
    <x:col min="4" max="4" width="25" hidden="0" customWidth="1"/>
    <x:col min="5" max="5" width="27" hidden="0" customWidth="1"/>
    <x:col min="6" max="6" width="39" hidden="0" customWidth="1"/>
    <x:col min="7" max="7" width="55" hidden="0" customWidth="1"/>
  </x:cols>
  <x:sheetData>
    <x:row r="1" ht="32" customHeight="1">
      <x:c r="A1" s="21" t="str">
        <x:v>Classification</x:v>
      </x:c>
      <x:c r="B1" s="21" t="str">
        <x:v>Typical description</x:v>
      </x:c>
      <x:c r="C1" s="21" t="str">
        <x:v>Permanent $/week</x:v>
      </x:c>
      <x:c r="D1" s="21" t="str">
        <x:v>Permanent $/hour</x:v>
      </x:c>
      <x:c r="E1" s="21" t="str">
        <x:v>Casual ordinary $/hour</x:v>
      </x:c>
      <x:c r="F1" s="21" t="str">
        <x:v>Manager annual award $ if specified</x:v>
      </x:c>
      <x:c r="G1" s="21" t="str">
        <x:v>Official award URL</x:v>
      </x:c>
    </x:row>
    <x:row r="2">
      <x:c r="A2" t="str">
        <x:v>Introductory</x:v>
      </x:c>
      <x:c r="B2" t="str">
        <x:v>Introductory</x:v>
      </x:c>
      <x:c r="C2" s="26" t="n">
        <x:v>978.1</x:v>
      </x:c>
      <x:c r="D2" s="26" t="n">
        <x:v>25.74</x:v>
      </x:c>
      <x:c r="E2" s="26" t="n">
        <x:v>32.18</x:v>
      </x:c>
      <x:c r="F2" s="26"/>
      <x:c r="G2" t="str">
        <x:v>https://awards.fairwork.gov.au/MA000058.html</x:v>
      </x:c>
    </x:row>
    <x:row r="3">
      <x:c r="A3" t="str">
        <x:v>Level 1</x:v>
      </x:c>
      <x:c r="B3" t="str">
        <x:v>F&amp;B grade 1, kitchen grade 1 etc</x:v>
      </x:c>
      <x:c r="C3" s="26" t="n">
        <x:v>1004.9</x:v>
      </x:c>
      <x:c r="D3" s="26" t="n">
        <x:v>26.44</x:v>
      </x:c>
      <x:c r="E3" s="26" t="n">
        <x:v>33.05</x:v>
      </x:c>
      <x:c r="F3" s="26"/>
      <x:c r="G3" t="str">
        <x:v>https://awards.fairwork.gov.au/MA000058.html</x:v>
      </x:c>
    </x:row>
    <x:row r="4">
      <x:c r="A4" t="str">
        <x:v>Level 2</x:v>
      </x:c>
      <x:c r="B4" t="str">
        <x:v>F&amp;B grade 2, kitchen grade 2 etc</x:v>
      </x:c>
      <x:c r="C4" s="26" t="n">
        <x:v>1029.1</x:v>
      </x:c>
      <x:c r="D4" s="26" t="n">
        <x:v>27.08</x:v>
      </x:c>
      <x:c r="E4" s="26" t="n">
        <x:v>33.85</x:v>
      </x:c>
      <x:c r="F4" s="26"/>
      <x:c r="G4" t="str">
        <x:v>https://awards.fairwork.gov.au/MA000058.html</x:v>
      </x:c>
    </x:row>
    <x:row r="5">
      <x:c r="A5" t="str">
        <x:v>Level 3</x:v>
      </x:c>
      <x:c r="B5" t="str">
        <x:v>F&amp;B / gaming attendant grade 3 etc</x:v>
      </x:c>
      <x:c r="C5" s="26" t="n">
        <x:v>1062.9</x:v>
      </x:c>
      <x:c r="D5" s="26" t="n">
        <x:v>27.97</x:v>
      </x:c>
      <x:c r="E5" s="26" t="n">
        <x:v>34.96</x:v>
      </x:c>
      <x:c r="F5" s="26"/>
      <x:c r="G5" t="str">
        <x:v>https://awards.fairwork.gov.au/MA000058.html</x:v>
      </x:c>
    </x:row>
    <x:row r="6">
      <x:c r="A6" t="str">
        <x:v>Level 4</x:v>
      </x:c>
      <x:c r="B6" t="str">
        <x:v>Trade cook grade 3, skilled F&amp;B attendant etc</x:v>
      </x:c>
      <x:c r="C6" s="26" t="n">
        <x:v>1119.1</x:v>
      </x:c>
      <x:c r="D6" s="26" t="n">
        <x:v>29.45</x:v>
      </x:c>
      <x:c r="E6" s="26" t="n">
        <x:v>36.81</x:v>
      </x:c>
      <x:c r="F6" s="26"/>
      <x:c r="G6" t="str">
        <x:v>https://awards.fairwork.gov.au/MA000058.html</x:v>
      </x:c>
    </x:row>
    <x:row r="7">
      <x:c r="A7" t="str">
        <x:v>Level 5</x:v>
      </x:c>
      <x:c r="B7" t="str">
        <x:v>F&amp;B/gaming supervisor, demi chef etc</x:v>
      </x:c>
      <x:c r="C7" s="26" t="n">
        <x:v>1189.4</x:v>
      </x:c>
      <x:c r="D7" s="26" t="n">
        <x:v>31.3</x:v>
      </x:c>
      <x:c r="E7" s="26" t="n">
        <x:v>39.13</x:v>
      </x:c>
      <x:c r="F7" s="26"/>
      <x:c r="G7" t="str">
        <x:v>https://awards.fairwork.gov.au/MA000058.html</x:v>
      </x:c>
    </x:row>
    <x:row r="8">
      <x:c r="A8" t="str">
        <x:v>Level 6</x:v>
      </x:c>
      <x:c r="B8" t="str">
        <x:v>Cook grade 5 / other Level 6</x:v>
      </x:c>
      <x:c r="C8" s="26" t="n">
        <x:v>1221.1</x:v>
      </x:c>
      <x:c r="D8" s="26" t="n">
        <x:v>32.13</x:v>
      </x:c>
      <x:c r="E8" s="26" t="n">
        <x:v>40.16</x:v>
      </x:c>
      <x:c r="F8" s="26"/>
      <x:c r="G8" t="str">
        <x:v>https://awards.fairwork.gov.au/MA000058.html</x:v>
      </x:c>
    </x:row>
    <x:row r="9">
      <x:c r="A9" t="str">
        <x:v>Level 6 - Manager</x:v>
      </x:c>
      <x:c r="B9" t="str">
        <x:v>Club manager if gross annual revenue &lt; $500k</x:v>
      </x:c>
      <x:c r="C9" s="26" t="n">
        <x:v>1221.1</x:v>
      </x:c>
      <x:c r="D9" s="26" t="n">
        <x:v>32.13</x:v>
      </x:c>
      <x:c r="E9" s="26" t="n">
        <x:v>40.16</x:v>
      </x:c>
      <x:c r="F9" s="26" t="n">
        <x:v>63672</x:v>
      </x:c>
      <x:c r="G9" t="str">
        <x:v>https://awards.fairwork.gov.au/MA000058.html</x:v>
      </x:c>
    </x:row>
    <x:row r="10">
      <x:c r="A10" t="str">
        <x:v>Level 7</x:v>
      </x:c>
      <x:c r="B10" t="str">
        <x:v>Manager Level A</x:v>
      </x:c>
      <x:c r="C10" s="26" t="n">
        <x:v>1251.9</x:v>
      </x:c>
      <x:c r="D10" s="26" t="n">
        <x:v>32.94</x:v>
      </x:c>
      <x:c r="E10" s="26" t="n">
        <x:v>41.18</x:v>
      </x:c>
      <x:c r="F10" s="26" t="n">
        <x:v>65278</x:v>
      </x:c>
      <x:c r="G10" t="str">
        <x:v>https://awards.fairwork.gov.au/MA000058.html</x:v>
      </x:c>
    </x:row>
    <x:row r="11">
      <x:c r="A11" t="str">
        <x:v>Level 8</x:v>
      </x:c>
      <x:c r="B11" t="str">
        <x:v>Manager Level B</x:v>
      </x:c>
      <x:c r="C11" s="26" t="n">
        <x:v>1304.9</x:v>
      </x:c>
      <x:c r="D11" s="26" t="n">
        <x:v>34.34</x:v>
      </x:c>
      <x:c r="E11" s="26" t="n">
        <x:v>42.93</x:v>
      </x:c>
      <x:c r="F11" s="26" t="n">
        <x:v>68041</x:v>
      </x:c>
      <x:c r="G11" t="str">
        <x:v>https://awards.fairwork.gov.au/MA000058.html</x:v>
      </x:c>
    </x:row>
    <x:row r="12">
      <x:c r="A12" t="str">
        <x:v>Level 9</x:v>
      </x:c>
      <x:c r="B12" t="str">
        <x:v>Manager Level C</x:v>
      </x:c>
      <x:c r="C12" s="26" t="n">
        <x:v>1322.3</x:v>
      </x:c>
      <x:c r="D12" s="26" t="n">
        <x:v>34.8</x:v>
      </x:c>
      <x:c r="E12" s="26" t="n">
        <x:v>43.5</x:v>
      </x:c>
      <x:c r="F12" s="26" t="n">
        <x:v>68948</x:v>
      </x:c>
      <x:c r="G12" t="str">
        <x:v>https://awards.fairwork.gov.au/MA000058.html</x:v>
      </x:c>
    </x:row>
    <x:row r="13">
      <x:c r="A13" t="str">
        <x:v>Level 10</x:v>
      </x:c>
      <x:c r="B13" t="str">
        <x:v>Manager Level D</x:v>
      </x:c>
      <x:c r="C13" s="26" t="n">
        <x:v>1371</x:v>
      </x:c>
      <x:c r="D13" s="26" t="n">
        <x:v>36.08</x:v>
      </x:c>
      <x:c r="E13" s="26" t="n">
        <x:v>45.1</x:v>
      </x:c>
      <x:c r="F13" s="26" t="n">
        <x:v>71488</x:v>
      </x:c>
      <x:c r="G13" t="str">
        <x:v>https://awards.fairwork.gov.au/MA000058.html</x:v>
      </x:c>
    </x:row>
    <x:row r="14">
      <x:c r="A14" t="str">
        <x:v>Level 11</x:v>
      </x:c>
      <x:c r="B14" t="str">
        <x:v>Manager Level E</x:v>
      </x:c>
      <x:c r="C14" s="26" t="n">
        <x:v>1420.9</x:v>
      </x:c>
      <x:c r="D14" s="26" t="n">
        <x:v>37.39</x:v>
      </x:c>
      <x:c r="E14" s="26" t="n">
        <x:v>46.74</x:v>
      </x:c>
      <x:c r="F14" s="26" t="n">
        <x:v>74090</x:v>
      </x:c>
      <x:c r="G14" t="str">
        <x:v>https://awards.fairwork.gov.au/MA000058.html</x:v>
      </x:c>
    </x:row>
    <x:row r="15">
      <x:c r="A15" t="str">
        <x:v>Level 12</x:v>
      </x:c>
      <x:c r="B15" t="str">
        <x:v>Manager Level F</x:v>
      </x:c>
      <x:c r="C15" s="26" t="n">
        <x:v>1510.8</x:v>
      </x:c>
      <x:c r="D15" s="26" t="n">
        <x:v>39.76</x:v>
      </x:c>
      <x:c r="E15" s="26" t="n">
        <x:v>49.7</x:v>
      </x:c>
      <x:c r="F15" s="26" t="n">
        <x:v>78777</x:v>
      </x:c>
      <x:c r="G15" t="str">
        <x:v>https://awards.fairwork.gov.au/MA000058.html</x:v>
      </x:c>
    </x:row>
    <x:row r="16">
      <x:c r="A16" t="str">
        <x:v>Level 13</x:v>
      </x:c>
      <x:c r="B16" t="str">
        <x:v>Manager Level G</x:v>
      </x:c>
      <x:c r="C16" s="26" t="n">
        <x:v>1540.3</x:v>
      </x:c>
      <x:c r="D16" s="26" t="n">
        <x:v>40.53</x:v>
      </x:c>
      <x:c r="E16" s="26" t="n">
        <x:v>50.66</x:v>
      </x:c>
      <x:c r="F16" s="26" t="n">
        <x:v>80316</x:v>
      </x:c>
      <x:c r="G16" t="str">
        <x:v>https://awards.fairwork.gov.au/MA000058.html</x:v>
      </x:c>
    </x:row>
  </x:sheetData>
  <x:pageMargins left="0.7" right="0.7" top="0.75" bottom="0.75" header="0.3" footer="0.3"/>
  <x:tableParts count="1">
    <x:tablePart xmlns:r="http://schemas.openxmlformats.org/officeDocument/2006/relationships" r:id="Rae695b3af0bb4488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2" hidden="0" customWidth="1"/>
    <x:col min="2" max="2" width="120" hidden="0" customWidth="1"/>
    <x:col min="3" max="3" width="65" hidden="0" customWidth="1"/>
  </x:cols>
  <x:sheetData>
    <x:row r="1" ht="30" customHeight="1">
      <x:c r="A1" s="21" t="str">
        <x:v>Award or topic</x:v>
      </x:c>
      <x:c r="B1" s="21" t="str">
        <x:v>Main rule / example</x:v>
      </x:c>
      <x:c r="C1" s="21" t="str">
        <x:v>Source</x:v>
      </x:c>
    </x:row>
    <x:row r="2" ht="29" customHeight="1">
      <x:c r="A2" s="10" t="str">
        <x:v>Restaurant permanent</x:v>
      </x:c>
      <x:c r="B2" s="10" t="str">
        <x:v>Saturday 125%, Sunday 150%, public holiday generally 225% of base; exceptions and options exist.</x:v>
      </x:c>
      <x:c r="C2" s="10" t="str">
        <x:v>https://awards.fairwork.gov.au/MA000119.html</x:v>
      </x:c>
    </x:row>
    <x:row r="3" ht="29" customHeight="1">
      <x:c r="A3" s="10" t="str">
        <x:v>Restaurant casual</x:v>
      </x:c>
      <x:c r="B3" s="10" t="str">
        <x:v>Saturday 150%; Sunday 150% Intro–L2, 175% L3–L6; public holiday 250%.</x:v>
      </x:c>
      <x:c r="C3" s="10" t="str">
        <x:v>https://awards.fairwork.gov.au/MA000119.html</x:v>
      </x:c>
    </x:row>
    <x:row r="4" ht="29" customHeight="1">
      <x:c r="A4" s="10" t="str">
        <x:v>Hospitality permanent</x:v>
      </x:c>
      <x:c r="B4" s="10" t="str">
        <x:v>Saturday 125%, Sunday 150%, public holiday generally 225%; other arrangements may exist.</x:v>
      </x:c>
      <x:c r="C4" s="10" t="str">
        <x:v>https://awards.fairwork.gov.au/MA000009.html</x:v>
      </x:c>
    </x:row>
    <x:row r="5" ht="29" customHeight="1">
      <x:c r="A5" s="10" t="str">
        <x:v>Hospitality casual</x:v>
      </x:c>
      <x:c r="B5" s="10" t="str">
        <x:v>Saturday 150%, Sunday 175%, public holiday 250%.</x:v>
      </x:c>
      <x:c r="C5" s="10" t="str">
        <x:v>https://awards.fairwork.gov.au/MA000009.html</x:v>
      </x:c>
    </x:row>
    <x:row r="6" ht="29" customHeight="1">
      <x:c r="A6" s="10" t="str">
        <x:v>Licensed clubs permanent</x:v>
      </x:c>
      <x:c r="B6" s="10" t="str">
        <x:v>Common F&amp;B grades Saturday 150%, Sunday 175%, public holiday 250%; category/occupation can differ.</x:v>
      </x:c>
      <x:c r="C6" s="10" t="str">
        <x:v>https://awards.fairwork.gov.au/MA000058.html</x:v>
      </x:c>
    </x:row>
    <x:row r="7" ht="29" customHeight="1">
      <x:c r="A7" s="10" t="str">
        <x:v>Fast food permanent</x:v>
      </x:c>
      <x:c r="B7" s="10" t="str">
        <x:v>Saturday 125%, Sunday 125% L1 / 150% L2–3; public holiday 225%.</x:v>
      </x:c>
      <x:c r="C7" s="10" t="str">
        <x:v>https://awards.fairwork.gov.au/MA000003.html</x:v>
      </x:c>
    </x:row>
    <x:row r="8" ht="29" customHeight="1">
      <x:c r="A8" s="10" t="str">
        <x:v>Evening/night work</x:v>
      </x:c>
      <x:c r="B8" s="10" t="str">
        <x:v>Separate penalties/allowances apply; award-specific and cannot be assumed from the base table.</x:v>
      </x:c>
      <x:c r="C8" s="10" t="str">
        <x:v>https://awards.fairwork.gov.au/MA000119.html</x:v>
      </x:c>
    </x:row>
    <x:row r="9" ht="29" customHeight="1">
      <x:c r="A9" s="10" t="str">
        <x:v>Hotel managerial</x:v>
      </x:c>
      <x:c r="B9" s="10" t="str">
        <x:v>Hospitality award 'Managerial staff (Hotels)' base $63,617/year; not general manager coverage.</x:v>
      </x:c>
      <x:c r="C9" s="10" t="str">
        <x:v>https://awards.fairwork.gov.au/MA000009.html</x:v>
      </x:c>
    </x:row>
    <x:row r="10" ht="29" customHeight="1">
      <x:c r="A10" s="10" t="str">
        <x:v>Restaurant managers</x:v>
      </x:c>
      <x:c r="B10" s="10" t="str">
        <x:v>Restaurant award has no manager grade. Assess Miscellaneous Award or award-free depending on duties.</x:v>
      </x:c>
      <x:c r="C10" s="10" t="str">
        <x:v>https://library.fairwork.gov.au/viewer/?krn=K700247</x:v>
      </x:c>
    </x:row>
    <x:row r="11" ht="29" customHeight="1">
      <x:c r="A11" s="10" t="str">
        <x:v>Junior employees</x:v>
      </x:c>
      <x:c r="B11" s="10" t="str">
        <x:v>Age percentages vary by award. Restaurant employees serving/selling alcohol receive adult classification rate.</x:v>
      </x:c>
      <x:c r="C11" s="10" t="str">
        <x:v>https://www.fairwork.gov.au/find-help-for/fast-food-restaurants-cafes/restaurant-cafes-industry</x:v>
      </x:c>
    </x:row>
    <x:row r="12" ht="29" customHeight="1">
      <x:c r="A12" s="10" t="str">
        <x:v>Apprentices</x:v>
      </x:c>
      <x:c r="B12" s="10" t="str">
        <x:v>Different age, stage, year, qualification and commencement-based rates; do not use standard L1–L6.</x:v>
      </x:c>
      <x:c r="C12" s="10" t="str">
        <x:v>https://awards.fairwork.gov.au/MA000009.html</x:v>
      </x:c>
    </x:row>
    <x:row r="13" ht="29" customHeight="1">
      <x:c r="A13" s="10" t="str">
        <x:v>Superannuation</x:v>
      </x:c>
      <x:c r="B13" s="10" t="str">
        <x:v>12% qualifying earnings; Payday Super applies from 1 July 2026.</x:v>
      </x:c>
      <x:c r="C13" s="10" t="str">
        <x:v>https://www.fairwork.gov.au/pay-and-wages/tax-and-superannuation</x:v>
      </x:c>
    </x:row>
    <x:row r="14" ht="29" customHeight="1">
      <x:c r="A14" s="10" t="str">
        <x:v>Annual salary</x:v>
      </x:c>
      <x:c r="B14" s="10" t="str">
        <x:v>Use award salary/annualised wage rules and reconciliation; 52-week base equivalence is not necessarily compliant.</x:v>
      </x:c>
      <x:c r="C14" s="10" t="str">
        <x:v>https://www.fairwork.gov.au/pay-and-wages</x:v>
      </x:c>
    </x:row>
    <x:row r="15" ht="29" customHeight="1">
      <x:c r="A15" s="10" t="str">
        <x:v>Award and enterprise agreements</x:v>
      </x:c>
      <x:c r="B15" s="10" t="str">
        <x:v>Always verify whether an enterprise agreement supersedes an award and whether an award applies.</x:v>
      </x:c>
      <x:c r="C15" s="10" t="str">
        <x:v>https://www.fairwork.gov.au/employment-conditions/awards</x:v>
      </x:c>
    </x:row>
  </x:sheetData>
  <x:pageMargins left="0.7" right="0.7" top="0.75" bottom="0.75" header="0.3" footer="0.3"/>
  <x:tableParts count="1">
    <x:tablePart xmlns:r="http://schemas.openxmlformats.org/officeDocument/2006/relationships" r:id="R556b388fe9884bf1"/>
  </x:tableParts>
</x:worksheet>
</file>